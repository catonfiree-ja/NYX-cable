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xr:revisionPtr revIDLastSave="0" documentId="8_{28964C9A-E240-453E-B223-E5F92133596D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YSLY" sheetId="8" r:id="rId1"/>
    <sheet name="JZ-500" sheetId="11" r:id="rId2"/>
    <sheet name="Olflex" sheetId="10" r:id="rId3"/>
    <sheet name="Flex-JZ" sheetId="12" r:id="rId4"/>
    <sheet name="OPVC-JZ" sheetId="13" r:id="rId5"/>
    <sheet name="115" sheetId="9" r:id="rId6"/>
    <sheet name="LiYCY" sheetId="14" r:id="rId7"/>
    <sheet name="LiYCY-JZ" sheetId="15" r:id="rId8"/>
    <sheet name="H07V-K" sheetId="1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15" l="1"/>
  <c r="O45" i="15"/>
  <c r="O40" i="15"/>
  <c r="O20" i="15"/>
  <c r="O77" i="14"/>
  <c r="O45" i="14"/>
  <c r="O40" i="14"/>
  <c r="O20" i="14"/>
  <c r="O77" i="9"/>
  <c r="O45" i="9"/>
  <c r="O40" i="9"/>
  <c r="O20" i="9"/>
  <c r="O114" i="13"/>
  <c r="O109" i="13"/>
  <c r="O87" i="13"/>
  <c r="O86" i="13"/>
  <c r="O85" i="13"/>
  <c r="O79" i="13"/>
  <c r="O55" i="13"/>
  <c r="O54" i="13"/>
  <c r="O46" i="13"/>
  <c r="O27" i="13"/>
  <c r="O24" i="13"/>
  <c r="O23" i="13"/>
  <c r="O114" i="12"/>
  <c r="O109" i="12"/>
  <c r="O87" i="12"/>
  <c r="O86" i="12"/>
  <c r="O85" i="12"/>
  <c r="O79" i="12"/>
  <c r="O55" i="12"/>
  <c r="O54" i="12"/>
  <c r="O46" i="12"/>
  <c r="O27" i="12"/>
  <c r="O24" i="12"/>
  <c r="O23" i="12"/>
  <c r="O114" i="10"/>
  <c r="O109" i="10"/>
  <c r="O87" i="10"/>
  <c r="O86" i="10"/>
  <c r="O85" i="10"/>
  <c r="O79" i="10"/>
  <c r="O55" i="10"/>
  <c r="O54" i="10"/>
  <c r="O46" i="10"/>
  <c r="O27" i="10"/>
  <c r="O24" i="10"/>
  <c r="O23" i="10"/>
  <c r="O114" i="11"/>
  <c r="O109" i="11"/>
  <c r="O87" i="11"/>
  <c r="O86" i="11"/>
  <c r="O85" i="11"/>
  <c r="O79" i="11"/>
  <c r="O55" i="11"/>
  <c r="O54" i="11"/>
  <c r="O46" i="11"/>
  <c r="O27" i="11"/>
  <c r="O24" i="11"/>
  <c r="O23" i="11"/>
  <c r="O114" i="8"/>
  <c r="O109" i="8"/>
  <c r="O87" i="8"/>
  <c r="O86" i="8"/>
  <c r="O85" i="8"/>
  <c r="O79" i="8"/>
  <c r="O55" i="8"/>
  <c r="O54" i="8"/>
  <c r="O46" i="8"/>
  <c r="O27" i="8"/>
  <c r="O24" i="8"/>
  <c r="O23" i="8"/>
</calcChain>
</file>

<file path=xl/sharedStrings.xml><?xml version="1.0" encoding="utf-8"?>
<sst xmlns="http://schemas.openxmlformats.org/spreadsheetml/2006/main" count="8782" uniqueCount="1850">
  <si>
    <t>3G0.5</t>
  </si>
  <si>
    <t>4G0.5</t>
  </si>
  <si>
    <t>6G0.5</t>
  </si>
  <si>
    <t>5G0.5</t>
  </si>
  <si>
    <t>7G0.5</t>
  </si>
  <si>
    <t>8G0.5</t>
  </si>
  <si>
    <t>10G0.5</t>
  </si>
  <si>
    <t>12G0.5</t>
  </si>
  <si>
    <t>14G0.5</t>
  </si>
  <si>
    <t>16G0.5</t>
  </si>
  <si>
    <t>18G0.5</t>
  </si>
  <si>
    <t>20G0.5</t>
  </si>
  <si>
    <t>21G0.5</t>
  </si>
  <si>
    <t>25G0.5</t>
  </si>
  <si>
    <t>30G0.5</t>
  </si>
  <si>
    <t>35G0.5</t>
  </si>
  <si>
    <t>40G0.5</t>
  </si>
  <si>
    <t>42G0.5</t>
  </si>
  <si>
    <t>50G0.5</t>
  </si>
  <si>
    <t>52G0.5</t>
  </si>
  <si>
    <t>61G0.5</t>
  </si>
  <si>
    <t>65G0.5</t>
  </si>
  <si>
    <t>80G0.5</t>
  </si>
  <si>
    <t>100G0.5</t>
  </si>
  <si>
    <t>16x0.20</t>
  </si>
  <si>
    <t>3G0.75</t>
  </si>
  <si>
    <t>4G0.75</t>
  </si>
  <si>
    <t>5G0.75</t>
  </si>
  <si>
    <t>6G0.75</t>
  </si>
  <si>
    <t>7G0.75</t>
  </si>
  <si>
    <t>8G0.75</t>
  </si>
  <si>
    <t>9G0.75</t>
  </si>
  <si>
    <t>10G0.75</t>
  </si>
  <si>
    <t>12G0.75</t>
  </si>
  <si>
    <t>14G0.75</t>
  </si>
  <si>
    <t>18G0.75</t>
  </si>
  <si>
    <t>20G0.75</t>
  </si>
  <si>
    <t>21G0.75</t>
  </si>
  <si>
    <t>25G0.75</t>
  </si>
  <si>
    <t>30G0.75</t>
  </si>
  <si>
    <t>31G0.75</t>
  </si>
  <si>
    <t>32G0.75</t>
  </si>
  <si>
    <t>34G0.75</t>
  </si>
  <si>
    <t>37G0.75</t>
  </si>
  <si>
    <t>40G0.75</t>
  </si>
  <si>
    <t>41G0.75</t>
  </si>
  <si>
    <t>42G0.75</t>
  </si>
  <si>
    <t>50G0.75</t>
  </si>
  <si>
    <t>61G0.75</t>
  </si>
  <si>
    <t>65G0.75</t>
  </si>
  <si>
    <t>80G0.75</t>
  </si>
  <si>
    <t>100G0.75</t>
  </si>
  <si>
    <t>24x0.20</t>
  </si>
  <si>
    <t>3G1</t>
  </si>
  <si>
    <t>4G1</t>
  </si>
  <si>
    <t>5G1</t>
  </si>
  <si>
    <t>6G1</t>
  </si>
  <si>
    <t>7G1</t>
  </si>
  <si>
    <t>8G1</t>
  </si>
  <si>
    <t>9G1</t>
  </si>
  <si>
    <t>10G1</t>
  </si>
  <si>
    <t>12G1</t>
  </si>
  <si>
    <t>14G1</t>
  </si>
  <si>
    <t>16G1</t>
  </si>
  <si>
    <t>18G1</t>
  </si>
  <si>
    <t>19G1</t>
  </si>
  <si>
    <t>20G1</t>
  </si>
  <si>
    <t>21G1</t>
  </si>
  <si>
    <t>24G1</t>
  </si>
  <si>
    <t>25G1</t>
  </si>
  <si>
    <t>26G1</t>
  </si>
  <si>
    <t>27G1</t>
  </si>
  <si>
    <t>34G1</t>
  </si>
  <si>
    <t>36G1</t>
  </si>
  <si>
    <t>37G1</t>
  </si>
  <si>
    <t>40G1</t>
  </si>
  <si>
    <t>41G1</t>
  </si>
  <si>
    <t>42G1</t>
  </si>
  <si>
    <t>50G1</t>
  </si>
  <si>
    <t>56G1</t>
  </si>
  <si>
    <t>61G1</t>
  </si>
  <si>
    <t>65G1</t>
  </si>
  <si>
    <t>80G1</t>
  </si>
  <si>
    <t>100G1</t>
  </si>
  <si>
    <t>32x0.20</t>
  </si>
  <si>
    <t>424010 500211</t>
  </si>
  <si>
    <t>424020 500311</t>
  </si>
  <si>
    <t>424020 500411</t>
  </si>
  <si>
    <t>424020 500511</t>
  </si>
  <si>
    <t>424020 500611</t>
  </si>
  <si>
    <t>424020 500711</t>
  </si>
  <si>
    <t>424020 500811</t>
  </si>
  <si>
    <t>424020 501011</t>
  </si>
  <si>
    <t>424020 501211</t>
  </si>
  <si>
    <t>424010 750211</t>
  </si>
  <si>
    <t>424020 750311</t>
  </si>
  <si>
    <t>424020 750411</t>
  </si>
  <si>
    <t>424020 750511</t>
  </si>
  <si>
    <t>424020 750611</t>
  </si>
  <si>
    <t>424020 750711</t>
  </si>
  <si>
    <t>424020 750811</t>
  </si>
  <si>
    <t>424020 750911</t>
  </si>
  <si>
    <t>424020 751011</t>
  </si>
  <si>
    <t>424020 751211</t>
  </si>
  <si>
    <t>424011 000211</t>
  </si>
  <si>
    <t>424021 000311</t>
  </si>
  <si>
    <t>424021 000411</t>
  </si>
  <si>
    <t>424021 000511</t>
  </si>
  <si>
    <t>424021 000611</t>
  </si>
  <si>
    <t>424021 000711</t>
  </si>
  <si>
    <t>424021 000811</t>
  </si>
  <si>
    <t>424021 000911</t>
  </si>
  <si>
    <t>424021 001011</t>
  </si>
  <si>
    <t>424021 001211</t>
  </si>
  <si>
    <t>424011 500211</t>
  </si>
  <si>
    <t>424021 500311</t>
  </si>
  <si>
    <t>424021 500411</t>
  </si>
  <si>
    <t>424021 500511</t>
  </si>
  <si>
    <t>424021 500611</t>
  </si>
  <si>
    <t>424021 500711</t>
  </si>
  <si>
    <t>424021 500811</t>
  </si>
  <si>
    <t>424021 500911</t>
  </si>
  <si>
    <t>424021 501011</t>
  </si>
  <si>
    <t>424021 501211</t>
  </si>
  <si>
    <t>424012 500211</t>
  </si>
  <si>
    <t>424022 500311</t>
  </si>
  <si>
    <t>424022 500411</t>
  </si>
  <si>
    <t>424022 500511</t>
  </si>
  <si>
    <t>424022 500711</t>
  </si>
  <si>
    <t>424022 500811</t>
  </si>
  <si>
    <t>424022 501211</t>
  </si>
  <si>
    <t>Part NO.</t>
  </si>
  <si>
    <t>424020 501411</t>
  </si>
  <si>
    <t>424020 501611</t>
  </si>
  <si>
    <t>424020 501811</t>
  </si>
  <si>
    <t>424020 502011</t>
  </si>
  <si>
    <t>424020 502111</t>
  </si>
  <si>
    <t>424020 502511</t>
  </si>
  <si>
    <t>424020 503011</t>
  </si>
  <si>
    <t>424020 503211</t>
  </si>
  <si>
    <t>424020 503511</t>
  </si>
  <si>
    <t>424020 504011</t>
  </si>
  <si>
    <t>424020 504211</t>
  </si>
  <si>
    <t>424020 505011</t>
  </si>
  <si>
    <t>424020 505211</t>
  </si>
  <si>
    <t>424020 506111</t>
  </si>
  <si>
    <t>424020 506511</t>
  </si>
  <si>
    <t>424020 508011</t>
  </si>
  <si>
    <t>424020 509911</t>
  </si>
  <si>
    <t>424020 751411</t>
  </si>
  <si>
    <t>424020 751611</t>
  </si>
  <si>
    <t>424020 751811</t>
  </si>
  <si>
    <t>424020 752011</t>
  </si>
  <si>
    <t>424020 752111</t>
  </si>
  <si>
    <t>424020 752511</t>
  </si>
  <si>
    <t>424020 753011</t>
  </si>
  <si>
    <t>424020 753111</t>
  </si>
  <si>
    <t>424020 753211</t>
  </si>
  <si>
    <t>424020 753411</t>
  </si>
  <si>
    <t>424020 753711</t>
  </si>
  <si>
    <t>424020 754011</t>
  </si>
  <si>
    <t>424020 754111</t>
  </si>
  <si>
    <t>424020 754211</t>
  </si>
  <si>
    <t>424020 755011</t>
  </si>
  <si>
    <t>Core x Conductor</t>
  </si>
  <si>
    <t>2X0.5</t>
  </si>
  <si>
    <t>32G0.5</t>
  </si>
  <si>
    <t>2X0.75</t>
  </si>
  <si>
    <t>16G0.75</t>
  </si>
  <si>
    <t>Max strand Dia.(mm)</t>
  </si>
  <si>
    <t xml:space="preserve">Outer </t>
  </si>
  <si>
    <t>(kg/km)</t>
  </si>
  <si>
    <t>Conductor Resistance</t>
  </si>
  <si>
    <t>424020 756111</t>
  </si>
  <si>
    <t>424020 756511</t>
  </si>
  <si>
    <t>424020 758011</t>
  </si>
  <si>
    <t>424020 759911</t>
  </si>
  <si>
    <t>424021 001411</t>
  </si>
  <si>
    <t>424021 001611</t>
  </si>
  <si>
    <t>424021 001811</t>
  </si>
  <si>
    <t>424021 001911</t>
  </si>
  <si>
    <t>424021 002011</t>
  </si>
  <si>
    <t>424021 002111</t>
  </si>
  <si>
    <t>424021 002411</t>
  </si>
  <si>
    <t>424021 002511</t>
  </si>
  <si>
    <t>424021 002611</t>
  </si>
  <si>
    <t>424021 002711</t>
  </si>
  <si>
    <t>424021 003411</t>
  </si>
  <si>
    <t>424021 003611</t>
  </si>
  <si>
    <t>424021 003711</t>
  </si>
  <si>
    <t>424021 004011</t>
  </si>
  <si>
    <t>424021 004111</t>
  </si>
  <si>
    <t>424021 004211</t>
  </si>
  <si>
    <t>424021 005011</t>
  </si>
  <si>
    <t>424021 005611</t>
  </si>
  <si>
    <t>424021 006111</t>
  </si>
  <si>
    <t>424021 006511</t>
  </si>
  <si>
    <t>424021 008011</t>
  </si>
  <si>
    <t>424021 009911</t>
  </si>
  <si>
    <t>424021 501411</t>
  </si>
  <si>
    <t>424021 501611</t>
  </si>
  <si>
    <t>424021 501811</t>
  </si>
  <si>
    <t>424021 501911</t>
  </si>
  <si>
    <t>424021 502111</t>
  </si>
  <si>
    <t>2X1</t>
  </si>
  <si>
    <t>2X1.5</t>
  </si>
  <si>
    <t>3G1.5</t>
  </si>
  <si>
    <t>4G1.5</t>
  </si>
  <si>
    <t>5G1.5</t>
  </si>
  <si>
    <t>6G1.5</t>
  </si>
  <si>
    <t>7G1.5</t>
  </si>
  <si>
    <t>8G1.5</t>
  </si>
  <si>
    <t>9G1.5</t>
  </si>
  <si>
    <t>10G1.5</t>
  </si>
  <si>
    <t>12G1.5</t>
  </si>
  <si>
    <t>14G1.5</t>
  </si>
  <si>
    <t>16G1.5</t>
  </si>
  <si>
    <t>18G1.5</t>
  </si>
  <si>
    <t>19G1.5</t>
  </si>
  <si>
    <t>21G1.5</t>
  </si>
  <si>
    <t>30x0.25</t>
  </si>
  <si>
    <t>424021 502511</t>
  </si>
  <si>
    <t>424021 503011</t>
  </si>
  <si>
    <t>424021 503411</t>
  </si>
  <si>
    <t>424021 504011</t>
  </si>
  <si>
    <t>424021 504211</t>
  </si>
  <si>
    <t>424021 505011</t>
  </si>
  <si>
    <t>424021 505611</t>
  </si>
  <si>
    <t>424021 506111</t>
  </si>
  <si>
    <t>424021 506511</t>
  </si>
  <si>
    <t>424021 508011</t>
  </si>
  <si>
    <t>424021 509911</t>
  </si>
  <si>
    <t>424022 501411</t>
  </si>
  <si>
    <t>424022 501811</t>
  </si>
  <si>
    <t>424022 502511</t>
  </si>
  <si>
    <t>424022 503211</t>
  </si>
  <si>
    <t>424022 503411</t>
  </si>
  <si>
    <t>424022 504211</t>
  </si>
  <si>
    <t>424022 505011</t>
  </si>
  <si>
    <t>424022 506111</t>
  </si>
  <si>
    <t>424022 509911</t>
  </si>
  <si>
    <t>424014 000211</t>
  </si>
  <si>
    <t>424024 000311</t>
  </si>
  <si>
    <t>424024 000411</t>
  </si>
  <si>
    <t>424024 000511</t>
  </si>
  <si>
    <t>424024 000711</t>
  </si>
  <si>
    <t>424024 001211</t>
  </si>
  <si>
    <t>424026 000311</t>
  </si>
  <si>
    <t>424026 000411</t>
  </si>
  <si>
    <t>424026 000511</t>
  </si>
  <si>
    <t>424026 000711</t>
  </si>
  <si>
    <t>424027 100311</t>
  </si>
  <si>
    <t>424027 100411</t>
  </si>
  <si>
    <t>424027 100511</t>
  </si>
  <si>
    <t>424027 100711</t>
  </si>
  <si>
    <t>424027 160311</t>
  </si>
  <si>
    <t>424027 160411</t>
  </si>
  <si>
    <t>424027 160511</t>
  </si>
  <si>
    <t>424027 160711</t>
  </si>
  <si>
    <t>424027 250311</t>
  </si>
  <si>
    <t>424027 250411</t>
  </si>
  <si>
    <t>424027 250511</t>
  </si>
  <si>
    <t>424027 250711</t>
  </si>
  <si>
    <t>424027 350411</t>
  </si>
  <si>
    <t>424027 350511</t>
  </si>
  <si>
    <t>25G1.5</t>
  </si>
  <si>
    <t>30G1.5</t>
  </si>
  <si>
    <t>34G1.5</t>
  </si>
  <si>
    <t>40G1.5</t>
  </si>
  <si>
    <t>42G1.5</t>
  </si>
  <si>
    <t>50G1.5</t>
  </si>
  <si>
    <t>56G1.5</t>
  </si>
  <si>
    <t>61G1.5</t>
  </si>
  <si>
    <t>65G1.5</t>
  </si>
  <si>
    <t>80G1.5</t>
  </si>
  <si>
    <t>100G1.5</t>
  </si>
  <si>
    <t>2X2.5</t>
  </si>
  <si>
    <t>3G2.5</t>
  </si>
  <si>
    <t>4G2.5</t>
  </si>
  <si>
    <t>5G2.5</t>
  </si>
  <si>
    <t>7G2.5</t>
  </si>
  <si>
    <t>8G2.5</t>
  </si>
  <si>
    <t>12G2.5</t>
  </si>
  <si>
    <t>14G2.5</t>
  </si>
  <si>
    <t>18G2.5</t>
  </si>
  <si>
    <t>25G2.5</t>
  </si>
  <si>
    <t>32G2.5</t>
  </si>
  <si>
    <t>34G2.5</t>
  </si>
  <si>
    <t>42G2.5</t>
  </si>
  <si>
    <t>50G2.5</t>
  </si>
  <si>
    <t>61G2.5</t>
  </si>
  <si>
    <t>100G2.5</t>
  </si>
  <si>
    <t>2X4</t>
  </si>
  <si>
    <t>3G4</t>
  </si>
  <si>
    <t>4G4</t>
  </si>
  <si>
    <t>5G4</t>
  </si>
  <si>
    <t>7G4</t>
  </si>
  <si>
    <t>12G4</t>
  </si>
  <si>
    <t>3G6</t>
  </si>
  <si>
    <t>4G6</t>
  </si>
  <si>
    <t>5G6</t>
  </si>
  <si>
    <t>7G6</t>
  </si>
  <si>
    <t>3G10</t>
  </si>
  <si>
    <t>4G10</t>
  </si>
  <si>
    <t>5G10</t>
  </si>
  <si>
    <t>7G10</t>
  </si>
  <si>
    <t>3G16</t>
  </si>
  <si>
    <t>4G16</t>
  </si>
  <si>
    <t>5G16</t>
  </si>
  <si>
    <t>7G16</t>
  </si>
  <si>
    <t>3G25</t>
  </si>
  <si>
    <t>4G25</t>
  </si>
  <si>
    <t>5G25</t>
  </si>
  <si>
    <t>7G25</t>
  </si>
  <si>
    <t>4G35</t>
  </si>
  <si>
    <t>5G35</t>
  </si>
  <si>
    <t>50x0.25</t>
  </si>
  <si>
    <t>56x0.30</t>
  </si>
  <si>
    <t>84x0.30</t>
  </si>
  <si>
    <t>80x0.40</t>
  </si>
  <si>
    <t>128x0.40</t>
  </si>
  <si>
    <t>200x0.40</t>
  </si>
  <si>
    <t>280x0.40</t>
  </si>
  <si>
    <t>สายคอนโทรล YSLY-OZ</t>
  </si>
  <si>
    <t>สายคอนโทรล YSLY-JZ</t>
  </si>
  <si>
    <t>ysly-oz</t>
  </si>
  <si>
    <t>ysly-jz</t>
  </si>
  <si>
    <t>2x0.5</t>
  </si>
  <si>
    <t>2x0.75</t>
  </si>
  <si>
    <t>2x1</t>
  </si>
  <si>
    <t>2x1.5</t>
  </si>
  <si>
    <t>2x2.5</t>
  </si>
  <si>
    <t>2x4</t>
  </si>
  <si>
    <t>3g0.5</t>
  </si>
  <si>
    <t>4g0.5</t>
  </si>
  <si>
    <t>5g0.5</t>
  </si>
  <si>
    <t>6g0.5</t>
  </si>
  <si>
    <t>7g0.5</t>
  </si>
  <si>
    <t>8g0.5</t>
  </si>
  <si>
    <t>10g0.5</t>
  </si>
  <si>
    <t>12g0.5</t>
  </si>
  <si>
    <t>14g0.5</t>
  </si>
  <si>
    <t>16g0.5</t>
  </si>
  <si>
    <t>18g0.5</t>
  </si>
  <si>
    <t>20g0.5</t>
  </si>
  <si>
    <t>21g0.5</t>
  </si>
  <si>
    <t>25g0.5</t>
  </si>
  <si>
    <t>30g0.5</t>
  </si>
  <si>
    <t>32g0.5</t>
  </si>
  <si>
    <t>35g0.5</t>
  </si>
  <si>
    <t>40g0.5</t>
  </si>
  <si>
    <t>42g0.5</t>
  </si>
  <si>
    <t>50g0.5</t>
  </si>
  <si>
    <t>52g0.5</t>
  </si>
  <si>
    <t>61g0.5</t>
  </si>
  <si>
    <t>65g0.5</t>
  </si>
  <si>
    <t>80g0.5</t>
  </si>
  <si>
    <t>100g0.5</t>
  </si>
  <si>
    <t>3g0.75</t>
  </si>
  <si>
    <t>4g0.75</t>
  </si>
  <si>
    <t>5g0.75</t>
  </si>
  <si>
    <t>6g0.75</t>
  </si>
  <si>
    <t>7g0.75</t>
  </si>
  <si>
    <t>8g0.75</t>
  </si>
  <si>
    <t>9g0.75</t>
  </si>
  <si>
    <t>10g0.75</t>
  </si>
  <si>
    <t>12g0.75</t>
  </si>
  <si>
    <t>14g0.75</t>
  </si>
  <si>
    <t>16g0.75</t>
  </si>
  <si>
    <t>18g0.75</t>
  </si>
  <si>
    <t>20g0.75</t>
  </si>
  <si>
    <t>21g0.75</t>
  </si>
  <si>
    <t>25g0.75</t>
  </si>
  <si>
    <t>30g0.75</t>
  </si>
  <si>
    <t>31g0.75</t>
  </si>
  <si>
    <t>32g0.75</t>
  </si>
  <si>
    <t>34g0.75</t>
  </si>
  <si>
    <t>37g0.75</t>
  </si>
  <si>
    <t>40g0.75</t>
  </si>
  <si>
    <t>41g0.75</t>
  </si>
  <si>
    <t>42g0.75</t>
  </si>
  <si>
    <t>50g0.75</t>
  </si>
  <si>
    <t>61g0.75</t>
  </si>
  <si>
    <t>65g0.75</t>
  </si>
  <si>
    <t>80g0.75</t>
  </si>
  <si>
    <t>100g0.75</t>
  </si>
  <si>
    <t>3g1</t>
  </si>
  <si>
    <t>4g1</t>
  </si>
  <si>
    <t>5g1</t>
  </si>
  <si>
    <t>6g1</t>
  </si>
  <si>
    <t>7g1</t>
  </si>
  <si>
    <t>8g1</t>
  </si>
  <si>
    <t>9g1</t>
  </si>
  <si>
    <t>10g1</t>
  </si>
  <si>
    <t>12g1</t>
  </si>
  <si>
    <t>14g1</t>
  </si>
  <si>
    <t>16g1</t>
  </si>
  <si>
    <t>18g1</t>
  </si>
  <si>
    <t>19g1</t>
  </si>
  <si>
    <t>20g1</t>
  </si>
  <si>
    <t>21g1</t>
  </si>
  <si>
    <t>24g1</t>
  </si>
  <si>
    <t>25g1</t>
  </si>
  <si>
    <t>26g1</t>
  </si>
  <si>
    <t>27g1</t>
  </si>
  <si>
    <t>34g1</t>
  </si>
  <si>
    <t>36g1</t>
  </si>
  <si>
    <t>37g1</t>
  </si>
  <si>
    <t>40g1</t>
  </si>
  <si>
    <t>41g1</t>
  </si>
  <si>
    <t>42g1</t>
  </si>
  <si>
    <t>50g1</t>
  </si>
  <si>
    <t>56g1</t>
  </si>
  <si>
    <t>61g1</t>
  </si>
  <si>
    <t>65g1</t>
  </si>
  <si>
    <t>80g1</t>
  </si>
  <si>
    <t>100g1</t>
  </si>
  <si>
    <t>3g1.5</t>
  </si>
  <si>
    <t>4g1.5</t>
  </si>
  <si>
    <t>5g1.5</t>
  </si>
  <si>
    <t>6g1.5</t>
  </si>
  <si>
    <t>7g1.5</t>
  </si>
  <si>
    <t>8g1.5</t>
  </si>
  <si>
    <t>9g1.5</t>
  </si>
  <si>
    <t>10g1.5</t>
  </si>
  <si>
    <t>12g1.5</t>
  </si>
  <si>
    <t>14g1.5</t>
  </si>
  <si>
    <t>16g1.5</t>
  </si>
  <si>
    <t>18g1.5</t>
  </si>
  <si>
    <t>19g1.5</t>
  </si>
  <si>
    <t>21g1.5</t>
  </si>
  <si>
    <t>25g1.5</t>
  </si>
  <si>
    <t>30g1.5</t>
  </si>
  <si>
    <t>34g1.5</t>
  </si>
  <si>
    <t>40g1.5</t>
  </si>
  <si>
    <t>42g1.5</t>
  </si>
  <si>
    <t>50g1.5</t>
  </si>
  <si>
    <t>56g1.5</t>
  </si>
  <si>
    <t>61g1.5</t>
  </si>
  <si>
    <t>65g1.5</t>
  </si>
  <si>
    <t>80g1.5</t>
  </si>
  <si>
    <t>100g1.5</t>
  </si>
  <si>
    <t>3g2.5</t>
  </si>
  <si>
    <t>4g2.5</t>
  </si>
  <si>
    <t>5g2.5</t>
  </si>
  <si>
    <t>7g2.5</t>
  </si>
  <si>
    <t>8g2.5</t>
  </si>
  <si>
    <t>12g2.5</t>
  </si>
  <si>
    <t>14g2.5</t>
  </si>
  <si>
    <t>18g2.5</t>
  </si>
  <si>
    <t>25g2.5</t>
  </si>
  <si>
    <t>32g2.5</t>
  </si>
  <si>
    <t>34g2.5</t>
  </si>
  <si>
    <t>42g2.5</t>
  </si>
  <si>
    <t>50g2.5</t>
  </si>
  <si>
    <t>61g2.5</t>
  </si>
  <si>
    <t>100g2.5</t>
  </si>
  <si>
    <t>3g4</t>
  </si>
  <si>
    <t>4g4</t>
  </si>
  <si>
    <t>5g4</t>
  </si>
  <si>
    <t>7g4</t>
  </si>
  <si>
    <t>12g4</t>
  </si>
  <si>
    <t>3g6</t>
  </si>
  <si>
    <t>4g6</t>
  </si>
  <si>
    <t>5g6</t>
  </si>
  <si>
    <t>7g6</t>
  </si>
  <si>
    <t>3g10</t>
  </si>
  <si>
    <t>4g10</t>
  </si>
  <si>
    <t>5g10</t>
  </si>
  <si>
    <t>7g10</t>
  </si>
  <si>
    <t>3g16</t>
  </si>
  <si>
    <t>4g16</t>
  </si>
  <si>
    <t>5g16</t>
  </si>
  <si>
    <t>7g16</t>
  </si>
  <si>
    <t>3g25</t>
  </si>
  <si>
    <t>4g25</t>
  </si>
  <si>
    <t>5g25</t>
  </si>
  <si>
    <t>7g25</t>
  </si>
  <si>
    <t>4g35</t>
  </si>
  <si>
    <t>5g35</t>
  </si>
  <si>
    <t>Model</t>
  </si>
  <si>
    <t>Cu Weight</t>
  </si>
  <si>
    <t>Weight</t>
  </si>
  <si>
    <t>Dia. (mm)</t>
  </si>
  <si>
    <r>
      <t xml:space="preserve"> Size (mm</t>
    </r>
    <r>
      <rPr>
        <vertAlign val="superscript"/>
        <sz val="11"/>
        <color rgb="FFFFFF00"/>
        <rFont val="Tahoma"/>
        <family val="2"/>
        <scheme val="minor"/>
      </rPr>
      <t>2</t>
    </r>
    <r>
      <rPr>
        <sz val="11"/>
        <color rgb="FFFFFF00"/>
        <rFont val="Tahoma"/>
        <family val="2"/>
        <scheme val="minor"/>
      </rPr>
      <t>)</t>
    </r>
  </si>
  <si>
    <r>
      <t>@ 20</t>
    </r>
    <r>
      <rPr>
        <vertAlign val="superscript"/>
        <sz val="11"/>
        <color rgb="FFFFFF00"/>
        <rFont val="Tahoma"/>
        <family val="2"/>
        <scheme val="minor"/>
      </rPr>
      <t>o</t>
    </r>
    <r>
      <rPr>
        <sz val="11"/>
        <color rgb="FFFFFF00"/>
        <rFont val="Tahoma"/>
        <family val="2"/>
        <scheme val="minor"/>
      </rPr>
      <t>C (Ohm/km)</t>
    </r>
  </si>
  <si>
    <t>NO. of strands x</t>
  </si>
  <si>
    <t>https://nyxcable.com/product/ysly-jz/</t>
  </si>
  <si>
    <t>https://nyxcable.com/สายคอนโทรล/ysly-oz-2x0.5/</t>
  </si>
  <si>
    <t>https://nyxcable.com/สายคอนโทรล/ysly-jz-3g0.5/</t>
  </si>
  <si>
    <t>https://nyxcable.com/สายคอนโทรล/ysly-jz-4g0.5/</t>
  </si>
  <si>
    <t>https://nyxcable.com/สายคอนโทรล/ysly-jz-5g0.5/</t>
  </si>
  <si>
    <t>https://nyxcable.com/สายคอนโทรล/ysly-jz-6g0.5/</t>
  </si>
  <si>
    <t>https://nyxcable.com/สายคอนโทรล/ysly-jz-7g0.5/</t>
  </si>
  <si>
    <t>https://nyxcable.com/สายคอนโทรล/ysly-jz-8g0.5/</t>
  </si>
  <si>
    <t>https://nyxcable.com/สายคอนโทรล/ysly-jz-10g0.5/</t>
  </si>
  <si>
    <t>https://nyxcable.com/สายคอนโทรล/ysly-jz-12g0.5/</t>
  </si>
  <si>
    <t>https://nyxcable.com/สายคอนโทรล/ysly-jz-14g0.5/</t>
  </si>
  <si>
    <t>https://nyxcable.com/สายคอนโทรล/ysly-jz-16g0.5/</t>
  </si>
  <si>
    <t>https://nyxcable.com/สายคอนโทรล/ysly-jz-18g0.5/</t>
  </si>
  <si>
    <t>https://nyxcable.com/สายคอนโทรล/ysly-jz-20g0.5/</t>
  </si>
  <si>
    <t>https://nyxcable.com/สายคอนโทรล/ysly-jz-21g0.5/</t>
  </si>
  <si>
    <t>https://nyxcable.com/สายคอนโทรล/ysly-jz-25g0.5/</t>
  </si>
  <si>
    <t>https://nyxcable.com/สายคอนโทรล/ysly-jz-30g0.5/</t>
  </si>
  <si>
    <t>https://nyxcable.com/สายคอนโทรล/ysly-jz-32g0.5/</t>
  </si>
  <si>
    <t>https://nyxcable.com/สายคอนโทรล/ysly-jz-35g0.5/</t>
  </si>
  <si>
    <t>https://nyxcable.com/สายคอนโทรล/ysly-jz-40g0.5/</t>
  </si>
  <si>
    <t>https://nyxcable.com/สายคอนโทรล/ysly-jz-42g0.5/</t>
  </si>
  <si>
    <t>https://nyxcable.com/สายคอนโทรล/ysly-jz-50g0.5/</t>
  </si>
  <si>
    <t>https://nyxcable.com/สายคอนโทรล/ysly-jz-52g0.5/</t>
  </si>
  <si>
    <t>https://nyxcable.com/สายคอนโทรล/ysly-jz-61g0.5/</t>
  </si>
  <si>
    <t>https://nyxcable.com/สายคอนโทรล/ysly-jz-65g0.5/</t>
  </si>
  <si>
    <t>https://nyxcable.com/สายคอนโทรล/ysly-jz-80g0.5/</t>
  </si>
  <si>
    <t>https://nyxcable.com/สายคอนโทรล/ysly-jz-100g0.5/</t>
  </si>
  <si>
    <t>https://nyxcable.com/สายคอนโทรล/ysly-oz-2x0.75/</t>
  </si>
  <si>
    <t>https://nyxcable.com/สายคอนโทรล/ysly-jz-3g0.75/</t>
  </si>
  <si>
    <t>https://nyxcable.com/สายคอนโทรล/ysly-jz-4g0.75/</t>
  </si>
  <si>
    <t>https://nyxcable.com/สายคอนโทรล/ysly-jz-5g0.75/</t>
  </si>
  <si>
    <t>https://nyxcable.com/สายคอนโทรล/ysly-jz-6g0.75/</t>
  </si>
  <si>
    <t>https://nyxcable.com/สายคอนโทรล/ysly-jz-7g0.75/</t>
  </si>
  <si>
    <t>https://nyxcable.com/สายคอนโทรล/ysly-jz-8g0.75/</t>
  </si>
  <si>
    <t>https://nyxcable.com/สายคอนโทรล/ysly-jz-9g0.75/</t>
  </si>
  <si>
    <t>https://nyxcable.com/สายคอนโทรล/ysly-jz-10g0.75/</t>
  </si>
  <si>
    <t>https://nyxcable.com/สายคอนโทรล/ysly-jz-12g0.75/</t>
  </si>
  <si>
    <t>https://nyxcable.com/สายคอนโทรล/ysly-jz-14g0.75/</t>
  </si>
  <si>
    <t>https://nyxcable.com/สายคอนโทรล/ysly-jz-16g0.75/</t>
  </si>
  <si>
    <t>https://nyxcable.com/สายคอนโทรล/ysly-jz-18g0.75/</t>
  </si>
  <si>
    <t>https://nyxcable.com/สายคอนโทรล/ysly-jz-20g0.75/</t>
  </si>
  <si>
    <t>https://nyxcable.com/สายคอนโทรล/ysly-jz-21g0.75/</t>
  </si>
  <si>
    <t>https://nyxcable.com/สายคอนโทรล/ysly-jz-25g0.75/</t>
  </si>
  <si>
    <t>https://nyxcable.com/สายคอนโทรล/ysly-jz-30g0.75/</t>
  </si>
  <si>
    <t>https://nyxcable.com/สายคอนโทรล/ysly-jz-31g0.75/</t>
  </si>
  <si>
    <t>https://nyxcable.com/สายคอนโทรล/ysly-jz-32g0.75/</t>
  </si>
  <si>
    <t>https://nyxcable.com/สายคอนโทรล/ysly-jz-34g0.75/</t>
  </si>
  <si>
    <t>https://nyxcable.com/สายคอนโทรล/ysly-jz-37g0.75/</t>
  </si>
  <si>
    <t>https://nyxcable.com/สายคอนโทรล/ysly-jz-40g0.75/</t>
  </si>
  <si>
    <t>https://nyxcable.com/สายคอนโทรล/ysly-jz-41g0.75/</t>
  </si>
  <si>
    <t>https://nyxcable.com/สายคอนโทรล/ysly-jz-42g0.75/</t>
  </si>
  <si>
    <t>https://nyxcable.com/สายคอนโทรล/ysly-jz-50g0.75/</t>
  </si>
  <si>
    <t>https://nyxcable.com/สายคอนโทรล/ysly-jz-61g0.75/</t>
  </si>
  <si>
    <t>https://nyxcable.com/สายคอนโทรล/ysly-jz-65g0.75/</t>
  </si>
  <si>
    <t>https://nyxcable.com/สายคอนโทรล/ysly-jz-80g0.75/</t>
  </si>
  <si>
    <t>https://nyxcable.com/สายคอนโทรล/ysly-jz-100g0.75/</t>
  </si>
  <si>
    <t>https://nyxcable.com/สายคอนโทรล/ysly-oz-2x1/</t>
  </si>
  <si>
    <t>https://nyxcable.com/สายคอนโทรล/ysly-jz-3g1/</t>
  </si>
  <si>
    <t>https://nyxcable.com/สายคอนโทรล/ysly-jz-4g1/</t>
  </si>
  <si>
    <t>https://nyxcable.com/สายคอนโทรล/ysly-jz-5g1/</t>
  </si>
  <si>
    <t>https://nyxcable.com/สายคอนโทรล/ysly-jz-6g1/</t>
  </si>
  <si>
    <t>https://nyxcable.com/สายคอนโทรล/ysly-jz-7g1/</t>
  </si>
  <si>
    <t>https://nyxcable.com/สายคอนโทรล/ysly-jz-8g1/</t>
  </si>
  <si>
    <t>https://nyxcable.com/สายคอนโทรล/ysly-jz-9g1/</t>
  </si>
  <si>
    <t>https://nyxcable.com/สายคอนโทรล/ysly-jz-10g1/</t>
  </si>
  <si>
    <t>https://nyxcable.com/สายคอนโทรล/ysly-jz-12g1/</t>
  </si>
  <si>
    <t>https://nyxcable.com/สายคอนโทรล/ysly-jz-14g1/</t>
  </si>
  <si>
    <t>https://nyxcable.com/สายคอนโทรล/ysly-jz-16g1/</t>
  </si>
  <si>
    <t>https://nyxcable.com/สายคอนโทรล/ysly-jz-18g1/</t>
  </si>
  <si>
    <t>https://nyxcable.com/สายคอนโทรล/ysly-jz-19g1/</t>
  </si>
  <si>
    <t>https://nyxcable.com/สายคอนโทรล/ysly-jz-20g1/</t>
  </si>
  <si>
    <t>https://nyxcable.com/สายคอนโทรล/ysly-jz-21g1/</t>
  </si>
  <si>
    <t>https://nyxcable.com/สายคอนโทรล/ysly-jz-24g1/</t>
  </si>
  <si>
    <t>https://nyxcable.com/สายคอนโทรล/ysly-jz-25g1/</t>
  </si>
  <si>
    <t>https://nyxcable.com/สายคอนโทรล/ysly-jz-26g1/</t>
  </si>
  <si>
    <t>https://nyxcable.com/สายคอนโทรล/ysly-jz-27g1/</t>
  </si>
  <si>
    <t>https://nyxcable.com/สายคอนโทรล/ysly-jz-34g1/</t>
  </si>
  <si>
    <t>https://nyxcable.com/สายคอนโทรล/ysly-jz-36g1/</t>
  </si>
  <si>
    <t>https://nyxcable.com/สายคอนโทรล/ysly-jz-37g1/</t>
  </si>
  <si>
    <t>https://nyxcable.com/สายคอนโทรล/ysly-jz-40g1/</t>
  </si>
  <si>
    <t>https://nyxcable.com/สายคอนโทรล/ysly-jz-41g1/</t>
  </si>
  <si>
    <t>https://nyxcable.com/สายคอนโทรล/ysly-jz-42g1/</t>
  </si>
  <si>
    <t>https://nyxcable.com/สายคอนโทรล/ysly-jz-50g1/</t>
  </si>
  <si>
    <t>https://nyxcable.com/สายคอนโทรล/ysly-jz-56g1/</t>
  </si>
  <si>
    <t>https://nyxcable.com/สายคอนโทรล/ysly-jz-61g1/</t>
  </si>
  <si>
    <t>https://nyxcable.com/สายคอนโทรล/ysly-jz-65g1/</t>
  </si>
  <si>
    <t>https://nyxcable.com/สายคอนโทรล/ysly-jz-80g1/</t>
  </si>
  <si>
    <t>https://nyxcable.com/สายคอนโทรล/ysly-jz-100g1/</t>
  </si>
  <si>
    <t>https://nyxcable.com/สายคอนโทรล/ysly-oz-2x1.5/</t>
  </si>
  <si>
    <t>https://nyxcable.com/สายคอนโทรล/ysly-jz-3g1.5/</t>
  </si>
  <si>
    <t>https://nyxcable.com/สายคอนโทรล/ysly-jz-4g1.5/</t>
  </si>
  <si>
    <t>https://nyxcable.com/สายคอนโทรล/ysly-jz-5g1.5/</t>
  </si>
  <si>
    <t>https://nyxcable.com/สายคอนโทรล/ysly-jz-6g1.5/</t>
  </si>
  <si>
    <t>https://nyxcable.com/สายคอนโทรล/ysly-jz-7g1.5/</t>
  </si>
  <si>
    <t>https://nyxcable.com/สายคอนโทรล/ysly-jz-8g1.5/</t>
  </si>
  <si>
    <t>https://nyxcable.com/สายคอนโทรล/ysly-jz-9g1.5/</t>
  </si>
  <si>
    <t>https://nyxcable.com/สายคอนโทรล/ysly-jz-10g1.5/</t>
  </si>
  <si>
    <t>https://nyxcable.com/สายคอนโทรล/ysly-jz-12g1.5/</t>
  </si>
  <si>
    <t>https://nyxcable.com/สายคอนโทรล/ysly-jz-14g1.5/</t>
  </si>
  <si>
    <t>https://nyxcable.com/สายคอนโทรล/ysly-jz-16g1.5/</t>
  </si>
  <si>
    <t>https://nyxcable.com/สายคอนโทรล/ysly-jz-18g1.5/</t>
  </si>
  <si>
    <t>https://nyxcable.com/สายคอนโทรล/ysly-jz-19g1.5/</t>
  </si>
  <si>
    <t>https://nyxcable.com/สายคอนโทรล/ysly-jz-21g1.5/</t>
  </si>
  <si>
    <t>https://nyxcable.com/สายคอนโทรล/ysly-jz-25g1.5/</t>
  </si>
  <si>
    <t>https://nyxcable.com/สายคอนโทรล/ysly-jz-30g1.5/</t>
  </si>
  <si>
    <t>https://nyxcable.com/สายคอนโทรล/ysly-jz-34g1.5/</t>
  </si>
  <si>
    <t>https://nyxcable.com/สายคอนโทรล/ysly-jz-40g1.5/</t>
  </si>
  <si>
    <t>https://nyxcable.com/สายคอนโทรล/ysly-jz-42g1.5/</t>
  </si>
  <si>
    <t>https://nyxcable.com/สายคอนโทรล/ysly-jz-50g1.5/</t>
  </si>
  <si>
    <t>https://nyxcable.com/สายคอนโทรล/ysly-jz-56g1.5/</t>
  </si>
  <si>
    <t>https://nyxcable.com/สายคอนโทรล/ysly-jz-61g1.5/</t>
  </si>
  <si>
    <t>https://nyxcable.com/สายคอนโทรล/ysly-jz-65g1.5/</t>
  </si>
  <si>
    <t>https://nyxcable.com/สายคอนโทรล/ysly-jz-80g1.5/</t>
  </si>
  <si>
    <t>https://nyxcable.com/สายคอนโทรล/ysly-jz-100g1.5/</t>
  </si>
  <si>
    <t>https://nyxcable.com/สายคอนโทรล/ysly-oz-2x2.5/</t>
  </si>
  <si>
    <t>https://nyxcable.com/สายคอนโทรล/ysly-jz-3g2.5/</t>
  </si>
  <si>
    <t>https://nyxcable.com/สายคอนโทรล/ysly-jz-4g2.5/</t>
  </si>
  <si>
    <t>https://nyxcable.com/สายคอนโทรล/ysly-jz-5g2.5/</t>
  </si>
  <si>
    <t>https://nyxcable.com/สายคอนโทรล/ysly-jz-7g2.5/</t>
  </si>
  <si>
    <t>https://nyxcable.com/สายคอนโทรล/ysly-jz-8g2.5/</t>
  </si>
  <si>
    <t>https://nyxcable.com/สายคอนโทรล/ysly-jz-12g2.5/</t>
  </si>
  <si>
    <t>https://nyxcable.com/สายคอนโทรล/ysly-jz-14g2.5/</t>
  </si>
  <si>
    <t>https://nyxcable.com/สายคอนโทรล/ysly-jz-18g2.5/</t>
  </si>
  <si>
    <t>https://nyxcable.com/สายคอนโทรล/ysly-jz-25g2.5/</t>
  </si>
  <si>
    <t>https://nyxcable.com/สายคอนโทรล/ysly-jz-32g2.5/</t>
  </si>
  <si>
    <t>https://nyxcable.com/สายคอนโทรล/ysly-jz-34g2.5/</t>
  </si>
  <si>
    <t>https://nyxcable.com/สายคอนโทรล/ysly-jz-42g2.5/</t>
  </si>
  <si>
    <t>https://nyxcable.com/สายคอนโทรล/ysly-jz-50g2.5/</t>
  </si>
  <si>
    <t>https://nyxcable.com/สายคอนโทรล/ysly-jz-61g2.5/</t>
  </si>
  <si>
    <t>https://nyxcable.com/สายคอนโทรล/ysly-jz-100g2.5/</t>
  </si>
  <si>
    <t>https://nyxcable.com/สายคอนโทรล/ysly-oz-2x4/</t>
  </si>
  <si>
    <t>https://nyxcable.com/สายคอนโทรล/ysly-jz-3g4/</t>
  </si>
  <si>
    <t>https://nyxcable.com/สายคอนโทรล/ysly-jz-4g4/</t>
  </si>
  <si>
    <t>https://nyxcable.com/สายคอนโทรล/ysly-jz-5g4/</t>
  </si>
  <si>
    <t>https://nyxcable.com/สายคอนโทรล/ysly-jz-7g4/</t>
  </si>
  <si>
    <t>https://nyxcable.com/สายคอนโทรล/ysly-jz-12g4/</t>
  </si>
  <si>
    <t>https://nyxcable.com/สายคอนโทรล/ysly-jz-3g6/</t>
  </si>
  <si>
    <t>https://nyxcable.com/สายคอนโทรล/ysly-jz-4g6/</t>
  </si>
  <si>
    <t>https://nyxcable.com/สายคอนโทรล/ysly-jz-5g6/</t>
  </si>
  <si>
    <t>https://nyxcable.com/สายคอนโทรล/ysly-jz-7g6/</t>
  </si>
  <si>
    <t>https://nyxcable.com/สายคอนโทรล/ysly-jz-3g10/</t>
  </si>
  <si>
    <t>https://nyxcable.com/สายคอนโทรล/ysly-jz-4g10/</t>
  </si>
  <si>
    <t>https://nyxcable.com/สายคอนโทรล/ysly-jz-5g10/</t>
  </si>
  <si>
    <t>https://nyxcable.com/สายคอนโทรล/ysly-jz-7g10/</t>
  </si>
  <si>
    <t>https://nyxcable.com/สายคอนโทรล/ysly-jz-3g16/</t>
  </si>
  <si>
    <t>https://nyxcable.com/สายคอนโทรล/ysly-jz-4g16/</t>
  </si>
  <si>
    <t>https://nyxcable.com/สายคอนโทรล/ysly-jz-5g16/</t>
  </si>
  <si>
    <t>https://nyxcable.com/สายคอนโทรล/ysly-jz-7g16/</t>
  </si>
  <si>
    <t>https://nyxcable.com/สายคอนโทรล/ysly-jz-3g25/</t>
  </si>
  <si>
    <t>https://nyxcable.com/สายคอนโทรล/ysly-jz-4g25/</t>
  </si>
  <si>
    <t>https://nyxcable.com/สายคอนโทรล/ysly-jz-5g25/</t>
  </si>
  <si>
    <t>https://nyxcable.com/สายคอนโทรล/ysly-jz-7g25/</t>
  </si>
  <si>
    <t>https://nyxcable.com/สายคอนโทรล/ysly-jz-4g35/</t>
  </si>
  <si>
    <t>https://nyxcable.com/สายคอนโทรล/ysly-jz-5g35/</t>
  </si>
  <si>
    <t>https://nyxcable.com/product/olflex-classic-110/</t>
  </si>
  <si>
    <t>https://nyxcable.com/product/jz-500/</t>
  </si>
  <si>
    <t>https://nyxcable.com/product/opvc-jz/</t>
  </si>
  <si>
    <t>https://nyxcable.com/product/flex-jz/</t>
  </si>
  <si>
    <t>Product Price</t>
  </si>
  <si>
    <t>Baht/m</t>
  </si>
  <si>
    <t>24G0.5</t>
  </si>
  <si>
    <t>36G0.5</t>
  </si>
  <si>
    <t>24G0.75</t>
  </si>
  <si>
    <t>24G1.5</t>
  </si>
  <si>
    <t>https://nyxcable.com/product/liycy/</t>
  </si>
  <si>
    <t>https://nyxcable.com/product/liycy-jz/</t>
  </si>
  <si>
    <t>สายคอนโทรล YSLY-OZ 2X0.5</t>
  </si>
  <si>
    <t>สายคอนโทรล YSLY-JZ 3G0.5</t>
  </si>
  <si>
    <t>สายคอนโทรล YSLY-JZ 4G0.5</t>
  </si>
  <si>
    <t>สายคอนโทรล YSLY-JZ 5G0.5</t>
  </si>
  <si>
    <t>สายคอนโทรล YSLY-JZ 6G0.5</t>
  </si>
  <si>
    <t>สายคอนโทรล YSLY-JZ 7G0.5</t>
  </si>
  <si>
    <t>สายคอนโทรล YSLY-JZ 8G0.5</t>
  </si>
  <si>
    <t>สายคอนโทรล YSLY-JZ 10G0.5</t>
  </si>
  <si>
    <t>สายคอนโทรล YSLY-JZ 12G0.5</t>
  </si>
  <si>
    <t>สายคอนโทรล YSLY-JZ 14G0.5</t>
  </si>
  <si>
    <t>สายคอนโทรล YSLY-JZ 16G0.5</t>
  </si>
  <si>
    <t>สายคอนโทรล YSLY-JZ 18G0.5</t>
  </si>
  <si>
    <t>สายคอนโทรล YSLY-JZ 20G0.5</t>
  </si>
  <si>
    <t>สายคอนโทรล YSLY-JZ 21G0.5</t>
  </si>
  <si>
    <t>สายคอนโทรล YSLY-JZ 25G0.5</t>
  </si>
  <si>
    <t>สายคอนโทรล YSLY-JZ 30G0.5</t>
  </si>
  <si>
    <t>สายคอนโทรล YSLY-JZ 32G0.5</t>
  </si>
  <si>
    <t>สายคอนโทรล YSLY-JZ 35G0.5</t>
  </si>
  <si>
    <t>สายคอนโทรล YSLY-JZ 40G0.5</t>
  </si>
  <si>
    <t>สายคอนโทรล YSLY-JZ 42G0.5</t>
  </si>
  <si>
    <t>สายคอนโทรล YSLY-JZ 50G0.5</t>
  </si>
  <si>
    <t>สายคอนโทรล YSLY-JZ 52G0.5</t>
  </si>
  <si>
    <t>สายคอนโทรล YSLY-JZ 61G0.5</t>
  </si>
  <si>
    <t>สายคอนโทรล YSLY-JZ 65G0.5</t>
  </si>
  <si>
    <t>สายคอนโทรล YSLY-JZ 80G0.5</t>
  </si>
  <si>
    <t>สายคอนโทรล YSLY-JZ 100G0.5</t>
  </si>
  <si>
    <t>สายคอนโทรล YSLY-OZ 2X0.75</t>
  </si>
  <si>
    <t>สายคอนโทรล YSLY-JZ 3G0.75</t>
  </si>
  <si>
    <t>สายคอนโทรล YSLY-JZ 4G0.75</t>
  </si>
  <si>
    <t>สายคอนโทรล YSLY-JZ 5G0.75</t>
  </si>
  <si>
    <t>สายคอนโทรล YSLY-JZ 6G0.75</t>
  </si>
  <si>
    <t>สายคอนโทรล YSLY-JZ 7G0.75</t>
  </si>
  <si>
    <t>สายคอนโทรล YSLY-JZ 8G0.75</t>
  </si>
  <si>
    <t>สายคอนโทรล YSLY-JZ 9G0.75</t>
  </si>
  <si>
    <t>สายคอนโทรล YSLY-JZ 10G0.75</t>
  </si>
  <si>
    <t>สายคอนโทรล YSLY-JZ 12G0.75</t>
  </si>
  <si>
    <t>สายคอนโทรล YSLY-JZ 14G0.75</t>
  </si>
  <si>
    <t>สายคอนโทรล YSLY-JZ 16G0.75</t>
  </si>
  <si>
    <t>สายคอนโทรล YSLY-JZ 18G0.75</t>
  </si>
  <si>
    <t>สายคอนโทรล YSLY-JZ 20G0.75</t>
  </si>
  <si>
    <t>สายคอนโทรล YSLY-JZ 21G0.75</t>
  </si>
  <si>
    <t>สายคอนโทรล YSLY-JZ 25G0.75</t>
  </si>
  <si>
    <t>สายคอนโทรล YSLY-JZ 30G0.75</t>
  </si>
  <si>
    <t>สายคอนโทรล YSLY-JZ 31G0.75</t>
  </si>
  <si>
    <t>สายคอนโทรล YSLY-JZ 32G0.75</t>
  </si>
  <si>
    <t>สายคอนโทรล YSLY-JZ 34G0.75</t>
  </si>
  <si>
    <t>สายคอนโทรล YSLY-JZ 37G0.75</t>
  </si>
  <si>
    <t>สายคอนโทรล YSLY-JZ 40G0.75</t>
  </si>
  <si>
    <t>สายคอนโทรล YSLY-JZ 41G0.75</t>
  </si>
  <si>
    <t>สายคอนโทรล YSLY-JZ 42G0.75</t>
  </si>
  <si>
    <t>สายคอนโทรล YSLY-JZ 50G0.75</t>
  </si>
  <si>
    <t>สายคอนโทรล YSLY-JZ 61G0.75</t>
  </si>
  <si>
    <t>สายคอนโทรล YSLY-JZ 65G0.75</t>
  </si>
  <si>
    <t>สายคอนโทรล YSLY-JZ 80G0.75</t>
  </si>
  <si>
    <t>สายคอนโทรล YSLY-JZ 100G0.75</t>
  </si>
  <si>
    <t>สายคอนโทรล YSLY-OZ 2X1</t>
  </si>
  <si>
    <t>สายคอนโทรล YSLY-JZ 3G1</t>
  </si>
  <si>
    <t>สายคอนโทรล YSLY-JZ 4G1</t>
  </si>
  <si>
    <t>สายคอนโทรล YSLY-JZ 5G1</t>
  </si>
  <si>
    <t>สายคอนโทรล YSLY-JZ 6G1</t>
  </si>
  <si>
    <t>สายคอนโทรล YSLY-JZ 7G1</t>
  </si>
  <si>
    <t>สายคอนโทรล YSLY-JZ 8G1</t>
  </si>
  <si>
    <t>สายคอนโทรล YSLY-JZ 9G1</t>
  </si>
  <si>
    <t>สายคอนโทรล YSLY-JZ 10G1</t>
  </si>
  <si>
    <t>สายคอนโทรล YSLY-JZ 12G1</t>
  </si>
  <si>
    <t>สายคอนโทรล YSLY-JZ 14G1</t>
  </si>
  <si>
    <t>สายคอนโทรล YSLY-JZ 16G1</t>
  </si>
  <si>
    <t>สายคอนโทรล YSLY-JZ 18G1</t>
  </si>
  <si>
    <t>สายคอนโทรล YSLY-JZ 19G1</t>
  </si>
  <si>
    <t>สายคอนโทรล YSLY-JZ 20G1</t>
  </si>
  <si>
    <t>สายคอนโทรล YSLY-JZ 21G1</t>
  </si>
  <si>
    <t>สายคอนโทรล YSLY-JZ 24G1</t>
  </si>
  <si>
    <t>สายคอนโทรล YSLY-JZ 25G1</t>
  </si>
  <si>
    <t>สายคอนโทรล YSLY-JZ 26G1</t>
  </si>
  <si>
    <t>สายคอนโทรล YSLY-JZ 27G1</t>
  </si>
  <si>
    <t>สายคอนโทรล YSLY-JZ 34G1</t>
  </si>
  <si>
    <t>สายคอนโทรล YSLY-JZ 36G1</t>
  </si>
  <si>
    <t>สายคอนโทรล YSLY-JZ 37G1</t>
  </si>
  <si>
    <t>สายคอนโทรล YSLY-JZ 40G1</t>
  </si>
  <si>
    <t>สายคอนโทรล YSLY-JZ 41G1</t>
  </si>
  <si>
    <t>สายคอนโทรล YSLY-JZ 42G1</t>
  </si>
  <si>
    <t>สายคอนโทรล YSLY-JZ 50G1</t>
  </si>
  <si>
    <t>สายคอนโทรล YSLY-JZ 56G1</t>
  </si>
  <si>
    <t>สายคอนโทรล YSLY-JZ 61G1</t>
  </si>
  <si>
    <t>สายคอนโทรล YSLY-JZ 65G1</t>
  </si>
  <si>
    <t>สายคอนโทรล YSLY-JZ 80G1</t>
  </si>
  <si>
    <t>สายคอนโทรล YSLY-JZ 100G1</t>
  </si>
  <si>
    <t>สายคอนโทรล YSLY-OZ 2X1.5</t>
  </si>
  <si>
    <t>สายคอนโทรล YSLY-JZ 3G1.5</t>
  </si>
  <si>
    <t>สายคอนโทรล YSLY-JZ 4G1.5</t>
  </si>
  <si>
    <t>สายคอนโทรล YSLY-JZ 5G1.5</t>
  </si>
  <si>
    <t>สายคอนโทรล YSLY-JZ 6G1.5</t>
  </si>
  <si>
    <t>สายคอนโทรล YSLY-JZ 7G1.5</t>
  </si>
  <si>
    <t>สายคอนโทรล YSLY-JZ 8G1.5</t>
  </si>
  <si>
    <t>สายคอนโทรล YSLY-JZ 9G1.5</t>
  </si>
  <si>
    <t>สายคอนโทรล YSLY-JZ 10G1.5</t>
  </si>
  <si>
    <t>สายคอนโทรล YSLY-JZ 12G1.5</t>
  </si>
  <si>
    <t>สายคอนโทรล YSLY-JZ 14G1.5</t>
  </si>
  <si>
    <t>สายคอนโทรล YSLY-JZ 16G1.5</t>
  </si>
  <si>
    <t>สายคอนโทรล YSLY-JZ 18G1.5</t>
  </si>
  <si>
    <t>สายคอนโทรล YSLY-JZ 19G1.5</t>
  </si>
  <si>
    <t>สายคอนโทรล YSLY-JZ 21G1.5</t>
  </si>
  <si>
    <t>สายคอนโทรล YSLY-JZ 25G1.5</t>
  </si>
  <si>
    <t>สายคอนโทรล YSLY-JZ 30G1.5</t>
  </si>
  <si>
    <t>สายคอนโทรล YSLY-JZ 34G1.5</t>
  </si>
  <si>
    <t>สายคอนโทรล YSLY-JZ 40G1.5</t>
  </si>
  <si>
    <t>สายคอนโทรล YSLY-JZ 42G1.5</t>
  </si>
  <si>
    <t>สายคอนโทรล YSLY-JZ 50G1.5</t>
  </si>
  <si>
    <t>สายคอนโทรล YSLY-JZ 56G1.5</t>
  </si>
  <si>
    <t>สายคอนโทรล YSLY-JZ 61G1.5</t>
  </si>
  <si>
    <t>สายคอนโทรล YSLY-JZ 65G1.5</t>
  </si>
  <si>
    <t>สายคอนโทรล YSLY-JZ 80G1.5</t>
  </si>
  <si>
    <t>สายคอนโทรล YSLY-JZ 100G1.5</t>
  </si>
  <si>
    <t>สายคอนโทรล YSLY-OZ 2X2.5</t>
  </si>
  <si>
    <t>สายคอนโทรล YSLY-JZ 3G2.5</t>
  </si>
  <si>
    <t>สายคอนโทรล YSLY-JZ 4G2.5</t>
  </si>
  <si>
    <t>สายคอนโทรล YSLY-JZ 5G2.5</t>
  </si>
  <si>
    <t>สายคอนโทรล YSLY-JZ 7G2.5</t>
  </si>
  <si>
    <t>สายคอนโทรล YSLY-JZ 8G2.5</t>
  </si>
  <si>
    <t>สายคอนโทรล YSLY-JZ 12G2.5</t>
  </si>
  <si>
    <t>สายคอนโทรล YSLY-JZ 14G2.5</t>
  </si>
  <si>
    <t>สายคอนโทรล YSLY-JZ 18G2.5</t>
  </si>
  <si>
    <t>สายคอนโทรล YSLY-JZ 25G2.5</t>
  </si>
  <si>
    <t>สายคอนโทรล YSLY-JZ 32G2.5</t>
  </si>
  <si>
    <t>สายคอนโทรล YSLY-JZ 34G2.5</t>
  </si>
  <si>
    <t>สายคอนโทรล YSLY-JZ 42G2.5</t>
  </si>
  <si>
    <t>สายคอนโทรล YSLY-JZ 50G2.5</t>
  </si>
  <si>
    <t>สายคอนโทรล YSLY-JZ 61G2.5</t>
  </si>
  <si>
    <t>สายคอนโทรล YSLY-JZ 100G2.5</t>
  </si>
  <si>
    <t>สายคอนโทรล YSLY-OZ 2X4</t>
  </si>
  <si>
    <t>สายคอนโทรล YSLY-JZ 3G4</t>
  </si>
  <si>
    <t>สายคอนโทรล YSLY-JZ 4G4</t>
  </si>
  <si>
    <t>สายคอนโทรล YSLY-JZ 5G4</t>
  </si>
  <si>
    <t>สายคอนโทรล YSLY-JZ 7G4</t>
  </si>
  <si>
    <t>สายคอนโทรล YSLY-JZ 12G4</t>
  </si>
  <si>
    <t>สายคอนโทรล YSLY-JZ 3G6</t>
  </si>
  <si>
    <t>สายคอนโทรล YSLY-JZ 4G6</t>
  </si>
  <si>
    <t>สายคอนโทรล YSLY-JZ 5G6</t>
  </si>
  <si>
    <t>สายคอนโทรล YSLY-JZ 7G6</t>
  </si>
  <si>
    <t>สายคอนโทรล YSLY-JZ 3G10</t>
  </si>
  <si>
    <t>สายคอนโทรล YSLY-JZ 4G10</t>
  </si>
  <si>
    <t>สายคอนโทรล YSLY-JZ 5G10</t>
  </si>
  <si>
    <t>สายคอนโทรล YSLY-JZ 7G10</t>
  </si>
  <si>
    <t>สายคอนโทรล YSLY-JZ 3G16</t>
  </si>
  <si>
    <t>สายคอนโทรล YSLY-JZ 4G16</t>
  </si>
  <si>
    <t>สายคอนโทรล YSLY-JZ 5G16</t>
  </si>
  <si>
    <t>สายคอนโทรล YSLY-JZ 7G16</t>
  </si>
  <si>
    <t>สายคอนโทรล YSLY-JZ 3G25</t>
  </si>
  <si>
    <t>สายคอนโทรล YSLY-JZ 4G25</t>
  </si>
  <si>
    <t>สายคอนโทรล YSLY-JZ 5G25</t>
  </si>
  <si>
    <t>สายคอนโทรล YSLY-JZ 7G25</t>
  </si>
  <si>
    <t>สายคอนโทรล YSLY-JZ 4G35</t>
  </si>
  <si>
    <t>สายคอนโทรล YSLY-JZ 5G35</t>
  </si>
  <si>
    <t>ปรับตารางและใส่ราคาตั้ง</t>
  </si>
  <si>
    <t>Link เดิม</t>
  </si>
  <si>
    <t>https://nyxcable.com/สายคอนโทรลมีชีลด์/liycy-2X0.5</t>
  </si>
  <si>
    <t>https://nyxcable.com/สายคอนโทรลมีชีลด์/liycy-3X0.5</t>
  </si>
  <si>
    <t>https://nyxcable.com/สายคอนโทรลมีชีลด์/liycy-4X0.5</t>
  </si>
  <si>
    <t>https://nyxcable.com/สายคอนโทรลมีชีลด์/liycy-5X0.5</t>
  </si>
  <si>
    <t>https://nyxcable.com/สายคอนโทรลมีชีลด์/liycy-6X0.5</t>
  </si>
  <si>
    <t>https://nyxcable.com/สายคอนโทรลมีชีลด์/liycy-7X0.5</t>
  </si>
  <si>
    <t>https://nyxcable.com/สายคอนโทรลมีชีลด์/liycy-8X0.5</t>
  </si>
  <si>
    <t>https://nyxcable.com/สายคอนโทรลมีชีลด์/liycy-10X0.5</t>
  </si>
  <si>
    <t>https://nyxcable.com/สายคอนโทรลมีชีลด์/liycy-12X0.5</t>
  </si>
  <si>
    <t>https://nyxcable.com/สายคอนโทรลมีชีลด์/liycy-14X0.5</t>
  </si>
  <si>
    <t>https://nyxcable.com/สายคอนโทรลมีชีลด์/liycy-16X0.5</t>
  </si>
  <si>
    <t>https://nyxcable.com/สายคอนโทรลมีชีลด์/liycy-18X0.5</t>
  </si>
  <si>
    <t>https://nyxcable.com/สายคอนโทรลมีชีลด์/liycy-20X0.5</t>
  </si>
  <si>
    <t>https://nyxcable.com/สายคอนโทรลมีชีลด์/liycy-21X0.5</t>
  </si>
  <si>
    <t>https://nyxcable.com/สายคอนโทรลมีชีลด์/liycy-24X0.5</t>
  </si>
  <si>
    <t>https://nyxcable.com/สายคอนโทรลมีชีลด์/liycy-25X0.5</t>
  </si>
  <si>
    <t>https://nyxcable.com/สายคอนโทรลมีชีลด์/liycy-30X0.5</t>
  </si>
  <si>
    <t>https://nyxcable.com/สายคอนโทรลมีชีลด์/liycy-32X0.5</t>
  </si>
  <si>
    <t>https://nyxcable.com/สายคอนโทรลมีชีลด์/liycy-36X0.5</t>
  </si>
  <si>
    <t>https://nyxcable.com/สายคอนโทรลมีชีลด์/liycy-40X0.5</t>
  </si>
  <si>
    <t>https://nyxcable.com/สายคอนโทรลมีชีลด์/liycy-50X0.5</t>
  </si>
  <si>
    <t>https://nyxcable.com/สายคอนโทรลมีชีลด์/liycy-3X0.75</t>
  </si>
  <si>
    <t>https://nyxcable.com/สายคอนโทรลมีชีลด์/liycy-4X0.75</t>
  </si>
  <si>
    <t>https://nyxcable.com/สายคอนโทรลมีชีลด์/liycy-5X0.75</t>
  </si>
  <si>
    <t>https://nyxcable.com/สายคอนโทรลมีชีลด์/liycy-6X0.75</t>
  </si>
  <si>
    <t>https://nyxcable.com/สายคอนโทรลมีชีลด์/liycy-7X0.75</t>
  </si>
  <si>
    <t>https://nyxcable.com/สายคอนโทรลมีชีลด์/liycy-8X0.75</t>
  </si>
  <si>
    <t>https://nyxcable.com/สายคอนโทรลมีชีลด์/liycy-10X0.75</t>
  </si>
  <si>
    <t>https://nyxcable.com/สายคอนโทรลมีชีลด์/liycy-12X0.75</t>
  </si>
  <si>
    <t>https://nyxcable.com/สายคอนโทรลมีชีลด์/liycy-14X0.75</t>
  </si>
  <si>
    <t>https://nyxcable.com/สายคอนโทรลมีชีลด์/liycy-16X0.75</t>
  </si>
  <si>
    <t>https://nyxcable.com/สายคอนโทรลมีชีลด์/liycy-18X0.75</t>
  </si>
  <si>
    <t>https://nyxcable.com/สายคอนโทรลมีชีลด์/liycy-20X0.75</t>
  </si>
  <si>
    <t>https://nyxcable.com/สายคอนโทรลมีชีลด์/liycy-24X0.75</t>
  </si>
  <si>
    <t>https://nyxcable.com/สายคอนโทรลมีชีลด์/liycy-25X0.75</t>
  </si>
  <si>
    <t>https://nyxcable.com/สายคอนโทรลมีชีลด์/liycy-30X0.75</t>
  </si>
  <si>
    <t>https://nyxcable.com/สายคอนโทรลมีชีลด์/liycy-32X0.75</t>
  </si>
  <si>
    <t>https://nyxcable.com/สายคอนโทรลมีชีลด์/liycy-34X0.75</t>
  </si>
  <si>
    <t>https://nyxcable.com/สายคอนโทรลมีชีลด์/liycy-42X0.75</t>
  </si>
  <si>
    <t>https://nyxcable.com/สายคอนโทรลมีชีลด์/liycy-50X0.75</t>
  </si>
  <si>
    <t>https://nyxcable.com/สายคอนโทรลมีชีลด์/liycy-2X1</t>
  </si>
  <si>
    <t>https://nyxcable.com/สายคอนโทรลมีชีลด์/liycy-3X1</t>
  </si>
  <si>
    <t>https://nyxcable.com/สายคอนโทรลมีชีลด์/liycy-4X1</t>
  </si>
  <si>
    <t>https://nyxcable.com/สายคอนโทรลมีชีลด์/liycy-5X1</t>
  </si>
  <si>
    <t>https://nyxcable.com/สายคอนโทรลมีชีลด์/liycy-6X1</t>
  </si>
  <si>
    <t>https://nyxcable.com/สายคอนโทรลมีชีลด์/liycy-7X1</t>
  </si>
  <si>
    <t>https://nyxcable.com/สายคอนโทรลมีชีลด์/liycy-8X1</t>
  </si>
  <si>
    <t>https://nyxcable.com/สายคอนโทรลมีชีลด์/liycy-10X1</t>
  </si>
  <si>
    <t>https://nyxcable.com/สายคอนโทรลมีชีลด์/liycy-12X1</t>
  </si>
  <si>
    <t>https://nyxcable.com/สายคอนโทรลมีชีลด์/liycy-14X1</t>
  </si>
  <si>
    <t>https://nyxcable.com/สายคอนโทรลมีชีลด์/liycy-16X1</t>
  </si>
  <si>
    <t>https://nyxcable.com/สายคอนโทรลมีชีลด์/liycy-18X1</t>
  </si>
  <si>
    <t>https://nyxcable.com/สายคอนโทรลมีชีลด์/liycy-20X1</t>
  </si>
  <si>
    <t>https://nyxcable.com/สายคอนโทรลมีชีลด์/liycy-24X1</t>
  </si>
  <si>
    <t>https://nyxcable.com/สายคอนโทรลมีชีลด์/liycy-25X1</t>
  </si>
  <si>
    <t>https://nyxcable.com/สายคอนโทรลมีชีลด์/liycy-34X1</t>
  </si>
  <si>
    <t>https://nyxcable.com/สายคอนโทรลมีชีลด์/liycy-50X1</t>
  </si>
  <si>
    <t>https://nyxcable.com/สายคอนโทรลมีชีลด์/liycy-2X1.5</t>
  </si>
  <si>
    <t>https://nyxcable.com/สายคอนโทรลมีชีลด์/liycy-3X1.5</t>
  </si>
  <si>
    <t>https://nyxcable.com/สายคอนโทรลมีชีลด์/liycy-4X1.5</t>
  </si>
  <si>
    <t>https://nyxcable.com/สายคอนโทรลมีชีลด์/liycy-5X1.5</t>
  </si>
  <si>
    <t>https://nyxcable.com/สายคอนโทรลมีชีลด์/liycy-7X1.5</t>
  </si>
  <si>
    <t>https://nyxcable.com/สายคอนโทรลมีชีลด์/liycy-8X1.5</t>
  </si>
  <si>
    <t>https://nyxcable.com/สายคอนโทรลมีชีลด์/liycy-10X1.5</t>
  </si>
  <si>
    <t>https://nyxcable.com/สายคอนโทรลมีชีลด์/liycy-12X1.5</t>
  </si>
  <si>
    <t>https://nyxcable.com/สายคอนโทรลมีชีลด์/liycy-14X1.5</t>
  </si>
  <si>
    <t>https://nyxcable.com/สายคอนโทรลมีชีลด์/liycy-16X1.5</t>
  </si>
  <si>
    <t>https://nyxcable.com/สายคอนโทรลมีชีลด์/liycy-18X1.5</t>
  </si>
  <si>
    <t>https://nyxcable.com/สายคอนโทรลมีชีลด์/liycy-24X1.5</t>
  </si>
  <si>
    <t>https://nyxcable.com/สายคอนโทรลมีชีลด์/liycy-25X1.5</t>
  </si>
  <si>
    <t>https://nyxcable.com/สายคอนโทรลมีชีลด์/liycy-30X1.5</t>
  </si>
  <si>
    <t>https://nyxcable.com/สายคอนโทรลมีชีลด์/liycy-42X1.5</t>
  </si>
  <si>
    <t>https://nyxcable.com/สายคอนโทรลมีชีลด์/liycy-2X2.5</t>
  </si>
  <si>
    <t>https://nyxcable.com/สายคอนโทรลมีชีลด์/liycy-3X2.5</t>
  </si>
  <si>
    <t>https://nyxcable.com/สายคอนโทรลมีชีลด์/liycy-4X2.5</t>
  </si>
  <si>
    <t>https://nyxcable.com/สายคอนโทรลมีชีลด์/liycy-5X2.5</t>
  </si>
  <si>
    <t>https://nyxcable.com/สายคอนโทรลมีชีลด์/liycy-7X2.5</t>
  </si>
  <si>
    <t>https://nyxcable.com/สายคอนโทรลมีชีลด์/liycy-12X2.5</t>
  </si>
  <si>
    <t>https://nyxcable.com/สายคอนโทรลมีชีลด์/liycy-18X2.5</t>
  </si>
  <si>
    <t>https://nyxcable.com/สายคอนโทรลมีชีลด์/liycy-25X2.5</t>
  </si>
  <si>
    <t>https://nyxcable.com/สายคอนโทรลมีชีลด์/liycy-3X4</t>
  </si>
  <si>
    <t>https://nyxcable.com/สายคอนโทรลมีชีลด์/liycy-4X4</t>
  </si>
  <si>
    <t>https://nyxcable.com/สายคอนโทรลมีชีลด์/liycy-5X4</t>
  </si>
  <si>
    <t>https://nyxcable.com/สายคอนโทรลมีชีลด์/liycy-7X4</t>
  </si>
  <si>
    <t>https://nyxcable.com/สายคอนโทรลมีชีลด์/liycy-3X6</t>
  </si>
  <si>
    <t>https://nyxcable.com/สายคอนโทรลมีชีลด์/liycy-4X6</t>
  </si>
  <si>
    <t>https://nyxcable.com/สายคอนโทรลมีชีลด์/liycy-5X6</t>
  </si>
  <si>
    <t>https://nyxcable.com/สายคอนโทรลมีชีลด์/liycy-3X10</t>
  </si>
  <si>
    <t>https://nyxcable.com/สายคอนโทรลมีชีลด์/liycy-4X10</t>
  </si>
  <si>
    <t>https://nyxcable.com/สายคอนโทรลมีชีลด์/liycy-5X10</t>
  </si>
  <si>
    <t>https://nyxcable.com/สายคอนโทรลมีชีลด์/liycy-4X16</t>
  </si>
  <si>
    <t>https://nyxcable.com/สายคอนโทรลมีชีลด์/liycy-5X16</t>
  </si>
  <si>
    <t>https://nyxcable.com/สายคอนโทรลมีชีลด์/liycy-4X25</t>
  </si>
  <si>
    <t>https://nyxcable.com/สายคอนโทรลมีชีลด์/liycy-5X25</t>
  </si>
  <si>
    <t>https://nyxcable.com/สายคอนโทรลมีชีลด์/liycy-</t>
  </si>
  <si>
    <t>https://nyxcable.com/สายคอนโทรลมีชีลด์/liycy-4X35</t>
  </si>
  <si>
    <t>-</t>
  </si>
  <si>
    <t>Link สร้างใหม่ (เหมือนกัน)</t>
  </si>
  <si>
    <t>400x0.40</t>
  </si>
  <si>
    <t>356x0.50</t>
  </si>
  <si>
    <t>485x0.50</t>
  </si>
  <si>
    <t>614x0.50</t>
  </si>
  <si>
    <t>765x0.50</t>
  </si>
  <si>
    <t>944x0.50</t>
  </si>
  <si>
    <t>1225x0.50</t>
  </si>
  <si>
    <t>ราคา</t>
  </si>
  <si>
    <t>บาทต่อเมตร</t>
  </si>
  <si>
    <t>https://nyxcable.com/IEC06/H07V-K1x1.5</t>
  </si>
  <si>
    <t>https://nyxcable.com/IEC06/H07V-K1x2.5</t>
  </si>
  <si>
    <t>https://nyxcable.com/IEC06/H07V-K1x4</t>
  </si>
  <si>
    <t>https://nyxcable.com/IEC06/H07V-K1x6</t>
  </si>
  <si>
    <t>https://nyxcable.com/IEC06/H07V-K1x10</t>
  </si>
  <si>
    <t>https://nyxcable.com/IEC06/H07V-K1x16</t>
  </si>
  <si>
    <t>https://nyxcable.com/IEC06/H07V-K1x25</t>
  </si>
  <si>
    <t>https://nyxcable.com/IEC06/H07V-K1x35</t>
  </si>
  <si>
    <t>https://nyxcable.com/IEC06/H07V-K1x50</t>
  </si>
  <si>
    <t>https://nyxcable.com/IEC06/H07V-K1x70</t>
  </si>
  <si>
    <t>https://nyxcable.com/IEC06/H07V-K1x95</t>
  </si>
  <si>
    <t>https://nyxcable.com/IEC06/H07V-K1x120</t>
  </si>
  <si>
    <t>https://nyxcable.com/IEC06/H07V-K1x150</t>
  </si>
  <si>
    <t>https://nyxcable.com/IEC06/H07V-K1x185</t>
  </si>
  <si>
    <t>https://nyxcable.com/IEC06/H07V-K1x240</t>
  </si>
  <si>
    <t>Flex-JZ 2X0.5</t>
  </si>
  <si>
    <t>Flex-JZ 3G0.5</t>
  </si>
  <si>
    <t>Flex-JZ 4G0.5</t>
  </si>
  <si>
    <t>Flex-JZ 5G0.5</t>
  </si>
  <si>
    <t>Flex-JZ 6G0.5</t>
  </si>
  <si>
    <t>Flex-JZ 7G0.5</t>
  </si>
  <si>
    <t>Flex-JZ 8G0.5</t>
  </si>
  <si>
    <t>Flex-JZ 10G0.5</t>
  </si>
  <si>
    <t>Flex-JZ 12G0.5</t>
  </si>
  <si>
    <t>Flex-JZ 14G0.5</t>
  </si>
  <si>
    <t>Flex-JZ 16G0.5</t>
  </si>
  <si>
    <t>Flex-JZ 18G0.5</t>
  </si>
  <si>
    <t>Flex-JZ 20G0.5</t>
  </si>
  <si>
    <t>Flex-JZ 21G0.5</t>
  </si>
  <si>
    <t>Flex-JZ 25G0.5</t>
  </si>
  <si>
    <t>Flex-JZ 30G0.5</t>
  </si>
  <si>
    <t>Flex-JZ 32G0.5</t>
  </si>
  <si>
    <t>Flex-JZ 35G0.5</t>
  </si>
  <si>
    <t>Flex-JZ 40G0.5</t>
  </si>
  <si>
    <t>Flex-JZ 42G0.5</t>
  </si>
  <si>
    <t>Flex-JZ 50G0.5</t>
  </si>
  <si>
    <t>Flex-JZ 52G0.5</t>
  </si>
  <si>
    <t>Flex-JZ 61G0.5</t>
  </si>
  <si>
    <t>Flex-JZ 65G0.5</t>
  </si>
  <si>
    <t>Flex-JZ 80G0.5</t>
  </si>
  <si>
    <t>Flex-JZ 100G0.5</t>
  </si>
  <si>
    <t>Flex-JZ 2X0.75</t>
  </si>
  <si>
    <t>Flex-JZ 3G0.75</t>
  </si>
  <si>
    <t>Flex-JZ 4G0.75</t>
  </si>
  <si>
    <t>Flex-JZ 5G0.75</t>
  </si>
  <si>
    <t>Flex-JZ 6G0.75</t>
  </si>
  <si>
    <t>Flex-JZ 7G0.75</t>
  </si>
  <si>
    <t>Flex-JZ 8G0.75</t>
  </si>
  <si>
    <t>Flex-JZ 9G0.75</t>
  </si>
  <si>
    <t>Flex-JZ 10G0.75</t>
  </si>
  <si>
    <t>Flex-JZ 12G0.75</t>
  </si>
  <si>
    <t>Flex-JZ 14G0.75</t>
  </si>
  <si>
    <t>Flex-JZ 16G0.75</t>
  </si>
  <si>
    <t>Flex-JZ 18G0.75</t>
  </si>
  <si>
    <t>Flex-JZ 20G0.75</t>
  </si>
  <si>
    <t>Flex-JZ 21G0.75</t>
  </si>
  <si>
    <t>Flex-JZ 25G0.75</t>
  </si>
  <si>
    <t>Flex-JZ 30G0.75</t>
  </si>
  <si>
    <t>Flex-JZ 31G0.75</t>
  </si>
  <si>
    <t>Flex-JZ 32G0.75</t>
  </si>
  <si>
    <t>Flex-JZ 34G0.75</t>
  </si>
  <si>
    <t>Flex-JZ 37G0.75</t>
  </si>
  <si>
    <t>Flex-JZ 40G0.75</t>
  </si>
  <si>
    <t>Flex-JZ 41G0.75</t>
  </si>
  <si>
    <t>Flex-JZ 42G0.75</t>
  </si>
  <si>
    <t>Flex-JZ 50G0.75</t>
  </si>
  <si>
    <t>Flex-JZ 61G0.75</t>
  </si>
  <si>
    <t>Flex-JZ 65G0.75</t>
  </si>
  <si>
    <t>Flex-JZ 80G0.75</t>
  </si>
  <si>
    <t>Flex-JZ 100G0.75</t>
  </si>
  <si>
    <t>Flex-JZ 2X1</t>
  </si>
  <si>
    <t>Flex-JZ 3G1</t>
  </si>
  <si>
    <t>Flex-JZ 4G1</t>
  </si>
  <si>
    <t>Flex-JZ 5G1</t>
  </si>
  <si>
    <t>Flex-JZ 6G1</t>
  </si>
  <si>
    <t>Flex-JZ 7G1</t>
  </si>
  <si>
    <t>Flex-JZ 8G1</t>
  </si>
  <si>
    <t>Flex-JZ 9G1</t>
  </si>
  <si>
    <t>Flex-JZ 10G1</t>
  </si>
  <si>
    <t>Flex-JZ 12G1</t>
  </si>
  <si>
    <t>Flex-JZ 14G1</t>
  </si>
  <si>
    <t>Flex-JZ 16G1</t>
  </si>
  <si>
    <t>Flex-JZ 18G1</t>
  </si>
  <si>
    <t>Flex-JZ 19G1</t>
  </si>
  <si>
    <t>Flex-JZ 20G1</t>
  </si>
  <si>
    <t>Flex-JZ 21G1</t>
  </si>
  <si>
    <t>Flex-JZ 24G1</t>
  </si>
  <si>
    <t>Flex-JZ 25G1</t>
  </si>
  <si>
    <t>Flex-JZ 26G1</t>
  </si>
  <si>
    <t>Flex-JZ 27G1</t>
  </si>
  <si>
    <t>Flex-JZ 34G1</t>
  </si>
  <si>
    <t>Flex-JZ 36G1</t>
  </si>
  <si>
    <t>Flex-JZ 37G1</t>
  </si>
  <si>
    <t>Flex-JZ 40G1</t>
  </si>
  <si>
    <t>Flex-JZ 41G1</t>
  </si>
  <si>
    <t>Flex-JZ 42G1</t>
  </si>
  <si>
    <t>Flex-JZ 50G1</t>
  </si>
  <si>
    <t>Flex-JZ 56G1</t>
  </si>
  <si>
    <t>Flex-JZ 61G1</t>
  </si>
  <si>
    <t>Flex-JZ 65G1</t>
  </si>
  <si>
    <t>Flex-JZ 80G1</t>
  </si>
  <si>
    <t>Flex-JZ 100G1</t>
  </si>
  <si>
    <t>Flex-JZ 2X1.5</t>
  </si>
  <si>
    <t>Flex-JZ 3G1.5</t>
  </si>
  <si>
    <t>Flex-JZ 4G1.5</t>
  </si>
  <si>
    <t>Flex-JZ 5G1.5</t>
  </si>
  <si>
    <t>Flex-JZ 6G1.5</t>
  </si>
  <si>
    <t>Flex-JZ 7G1.5</t>
  </si>
  <si>
    <t>Flex-JZ 8G1.5</t>
  </si>
  <si>
    <t>Flex-JZ 9G1.5</t>
  </si>
  <si>
    <t>Flex-JZ 10G1.5</t>
  </si>
  <si>
    <t>Flex-JZ 12G1.5</t>
  </si>
  <si>
    <t>Flex-JZ 14G1.5</t>
  </si>
  <si>
    <t>Flex-JZ 16G1.5</t>
  </si>
  <si>
    <t>Flex-JZ 18G1.5</t>
  </si>
  <si>
    <t>Flex-JZ 19G1.5</t>
  </si>
  <si>
    <t>Flex-JZ 21G1.5</t>
  </si>
  <si>
    <t>Flex-JZ 25G1.5</t>
  </si>
  <si>
    <t>Flex-JZ 30G1.5</t>
  </si>
  <si>
    <t>Flex-JZ 34G1.5</t>
  </si>
  <si>
    <t>Flex-JZ 40G1.5</t>
  </si>
  <si>
    <t>Flex-JZ 42G1.5</t>
  </si>
  <si>
    <t>Flex-JZ 50G1.5</t>
  </si>
  <si>
    <t>Flex-JZ 56G1.5</t>
  </si>
  <si>
    <t>Flex-JZ 61G1.5</t>
  </si>
  <si>
    <t>Flex-JZ 65G1.5</t>
  </si>
  <si>
    <t>Flex-JZ 80G1.5</t>
  </si>
  <si>
    <t>Flex-JZ 100G1.5</t>
  </si>
  <si>
    <t>Flex-JZ 2X2.5</t>
  </si>
  <si>
    <t>Flex-JZ 3G2.5</t>
  </si>
  <si>
    <t>Flex-JZ 4G2.5</t>
  </si>
  <si>
    <t>Flex-JZ 5G2.5</t>
  </si>
  <si>
    <t>Flex-JZ 7G2.5</t>
  </si>
  <si>
    <t>Flex-JZ 8G2.5</t>
  </si>
  <si>
    <t>Flex-JZ 12G2.5</t>
  </si>
  <si>
    <t>Flex-JZ 14G2.5</t>
  </si>
  <si>
    <t>Flex-JZ 18G2.5</t>
  </si>
  <si>
    <t>Flex-JZ 25G2.5</t>
  </si>
  <si>
    <t>Flex-JZ 32G2.5</t>
  </si>
  <si>
    <t>Flex-JZ 34G2.5</t>
  </si>
  <si>
    <t>Flex-JZ 42G2.5</t>
  </si>
  <si>
    <t>Flex-JZ 50G2.5</t>
  </si>
  <si>
    <t>Flex-JZ 61G2.5</t>
  </si>
  <si>
    <t>Flex-JZ 100G2.5</t>
  </si>
  <si>
    <t>Flex-JZ 2X4</t>
  </si>
  <si>
    <t>Flex-JZ 3G4</t>
  </si>
  <si>
    <t>Flex-JZ 4G4</t>
  </si>
  <si>
    <t>Flex-JZ 5G4</t>
  </si>
  <si>
    <t>Flex-JZ 7G4</t>
  </si>
  <si>
    <t>Flex-JZ 12G4</t>
  </si>
  <si>
    <t>Flex-JZ 3G6</t>
  </si>
  <si>
    <t>Flex-JZ 4G6</t>
  </si>
  <si>
    <t>Flex-JZ 5G6</t>
  </si>
  <si>
    <t>Flex-JZ 7G6</t>
  </si>
  <si>
    <t>Flex-JZ 3G10</t>
  </si>
  <si>
    <t>Flex-JZ 4G10</t>
  </si>
  <si>
    <t>Flex-JZ 5G10</t>
  </si>
  <si>
    <t>Flex-JZ 7G10</t>
  </si>
  <si>
    <t>Flex-JZ 3G16</t>
  </si>
  <si>
    <t>Flex-JZ 4G16</t>
  </si>
  <si>
    <t>Flex-JZ 5G16</t>
  </si>
  <si>
    <t>Flex-JZ 7G16</t>
  </si>
  <si>
    <t>Flex-JZ 3G25</t>
  </si>
  <si>
    <t>Flex-JZ 4G25</t>
  </si>
  <si>
    <t>Flex-JZ 5G25</t>
  </si>
  <si>
    <t>Flex-JZ 7G25</t>
  </si>
  <si>
    <t>Flex-JZ 4G35</t>
  </si>
  <si>
    <t>Flex-JZ 5G35</t>
  </si>
  <si>
    <t>Olflex classic 110 2X0.5</t>
  </si>
  <si>
    <t>Olflex classic 110 3G0.5</t>
  </si>
  <si>
    <t>Olflex classic 110 4G0.5</t>
  </si>
  <si>
    <t>Olflex classic 110 5G0.5</t>
  </si>
  <si>
    <t>Olflex classic 110 6G0.5</t>
  </si>
  <si>
    <t>Olflex classic 110 7G0.5</t>
  </si>
  <si>
    <t>Olflex classic 110 8G0.5</t>
  </si>
  <si>
    <t>Olflex classic 110 10G0.5</t>
  </si>
  <si>
    <t>Olflex classic 110 12G0.5</t>
  </si>
  <si>
    <t>Olflex classic 110 14G0.5</t>
  </si>
  <si>
    <t>Olflex classic 110 16G0.5</t>
  </si>
  <si>
    <t>Olflex classic 110 18G0.5</t>
  </si>
  <si>
    <t>Olflex classic 110 20G0.5</t>
  </si>
  <si>
    <t>Olflex classic 110 21G0.5</t>
  </si>
  <si>
    <t>Olflex classic 110 25G0.5</t>
  </si>
  <si>
    <t>Olflex classic 110 30G0.5</t>
  </si>
  <si>
    <t>Olflex classic 110 32G0.5</t>
  </si>
  <si>
    <t>Olflex classic 110 35G0.5</t>
  </si>
  <si>
    <t>Olflex classic 110 40G0.5</t>
  </si>
  <si>
    <t>Olflex classic 110 42G0.5</t>
  </si>
  <si>
    <t>Olflex classic 110 50G0.5</t>
  </si>
  <si>
    <t>Olflex classic 110 52G0.5</t>
  </si>
  <si>
    <t>Olflex classic 110 61G0.5</t>
  </si>
  <si>
    <t>Olflex classic 110 65G0.5</t>
  </si>
  <si>
    <t>Olflex classic 110 80G0.5</t>
  </si>
  <si>
    <t>Olflex classic 110 100G0.5</t>
  </si>
  <si>
    <t>Olflex classic 110 2X0.75</t>
  </si>
  <si>
    <t>Olflex classic 110 3G0.75</t>
  </si>
  <si>
    <t>Olflex classic 110 4G0.75</t>
  </si>
  <si>
    <t>Olflex classic 110 5G0.75</t>
  </si>
  <si>
    <t>Olflex classic 110 6G0.75</t>
  </si>
  <si>
    <t>Olflex classic 110 7G0.75</t>
  </si>
  <si>
    <t>Olflex classic 110 8G0.75</t>
  </si>
  <si>
    <t>Olflex classic 110 9G0.75</t>
  </si>
  <si>
    <t>Olflex classic 110 10G0.75</t>
  </si>
  <si>
    <t>Olflex classic 110 12G0.75</t>
  </si>
  <si>
    <t>Olflex classic 110 14G0.75</t>
  </si>
  <si>
    <t>Olflex classic 110 16G0.75</t>
  </si>
  <si>
    <t>Olflex classic 110 18G0.75</t>
  </si>
  <si>
    <t>Olflex classic 110 20G0.75</t>
  </si>
  <si>
    <t>Olflex classic 110 21G0.75</t>
  </si>
  <si>
    <t>Olflex classic 110 25G0.75</t>
  </si>
  <si>
    <t>Olflex classic 110 30G0.75</t>
  </si>
  <si>
    <t>Olflex classic 110 31G0.75</t>
  </si>
  <si>
    <t>Olflex classic 110 32G0.75</t>
  </si>
  <si>
    <t>Olflex classic 110 34G0.75</t>
  </si>
  <si>
    <t>Olflex classic 110 37G0.75</t>
  </si>
  <si>
    <t>Olflex classic 110 40G0.75</t>
  </si>
  <si>
    <t>Olflex classic 110 41G0.75</t>
  </si>
  <si>
    <t>Olflex classic 110 42G0.75</t>
  </si>
  <si>
    <t>Olflex classic 110 50G0.75</t>
  </si>
  <si>
    <t>Olflex classic 110 61G0.75</t>
  </si>
  <si>
    <t>Olflex classic 110 65G0.75</t>
  </si>
  <si>
    <t>Olflex classic 110 80G0.75</t>
  </si>
  <si>
    <t>Olflex classic 110 100G0.75</t>
  </si>
  <si>
    <t>Olflex classic 110 2X1</t>
  </si>
  <si>
    <t>Olflex classic 110 3G1</t>
  </si>
  <si>
    <t>Olflex classic 110 4G1</t>
  </si>
  <si>
    <t>Olflex classic 110 5G1</t>
  </si>
  <si>
    <t>Olflex classic 110 6G1</t>
  </si>
  <si>
    <t>Olflex classic 110 7G1</t>
  </si>
  <si>
    <t>Olflex classic 110 8G1</t>
  </si>
  <si>
    <t>Olflex classic 110 9G1</t>
  </si>
  <si>
    <t>Olflex classic 110 10G1</t>
  </si>
  <si>
    <t>Olflex classic 110 12G1</t>
  </si>
  <si>
    <t>Olflex classic 110 14G1</t>
  </si>
  <si>
    <t>Olflex classic 110 16G1</t>
  </si>
  <si>
    <t>Olflex classic 110 18G1</t>
  </si>
  <si>
    <t>Olflex classic 110 19G1</t>
  </si>
  <si>
    <t>Olflex classic 110 20G1</t>
  </si>
  <si>
    <t>Olflex classic 110 21G1</t>
  </si>
  <si>
    <t>Olflex classic 110 24G1</t>
  </si>
  <si>
    <t>Olflex classic 110 25G1</t>
  </si>
  <si>
    <t>Olflex classic 110 26G1</t>
  </si>
  <si>
    <t>Olflex classic 110 27G1</t>
  </si>
  <si>
    <t>Olflex classic 110 34G1</t>
  </si>
  <si>
    <t>Olflex classic 110 36G1</t>
  </si>
  <si>
    <t>Olflex classic 110 37G1</t>
  </si>
  <si>
    <t>Olflex classic 110 40G1</t>
  </si>
  <si>
    <t>Olflex classic 110 41G1</t>
  </si>
  <si>
    <t>Olflex classic 110 42G1</t>
  </si>
  <si>
    <t>Olflex classic 110 50G1</t>
  </si>
  <si>
    <t>Olflex classic 110 56G1</t>
  </si>
  <si>
    <t>Olflex classic 110 61G1</t>
  </si>
  <si>
    <t>Olflex classic 110 65G1</t>
  </si>
  <si>
    <t>Olflex classic 110 80G1</t>
  </si>
  <si>
    <t>Olflex classic 110 100G1</t>
  </si>
  <si>
    <t>Olflex classic 110 2X1.5</t>
  </si>
  <si>
    <t>Olflex classic 110 3G1.5</t>
  </si>
  <si>
    <t>Olflex classic 110 4G1.5</t>
  </si>
  <si>
    <t>Olflex classic 110 5G1.5</t>
  </si>
  <si>
    <t>Olflex classic 110 6G1.5</t>
  </si>
  <si>
    <t>Olflex classic 110 7G1.5</t>
  </si>
  <si>
    <t>Olflex classic 110 8G1.5</t>
  </si>
  <si>
    <t>Olflex classic 110 9G1.5</t>
  </si>
  <si>
    <t>Olflex classic 110 10G1.5</t>
  </si>
  <si>
    <t>Olflex classic 110 12G1.5</t>
  </si>
  <si>
    <t>Olflex classic 110 14G1.5</t>
  </si>
  <si>
    <t>Olflex classic 110 16G1.5</t>
  </si>
  <si>
    <t>Olflex classic 110 18G1.5</t>
  </si>
  <si>
    <t>Olflex classic 110 19G1.5</t>
  </si>
  <si>
    <t>Olflex classic 110 21G1.5</t>
  </si>
  <si>
    <t>Olflex classic 110 25G1.5</t>
  </si>
  <si>
    <t>Olflex classic 110 30G1.5</t>
  </si>
  <si>
    <t>Olflex classic 110 34G1.5</t>
  </si>
  <si>
    <t>Olflex classic 110 40G1.5</t>
  </si>
  <si>
    <t>Olflex classic 110 42G1.5</t>
  </si>
  <si>
    <t>Olflex classic 110 50G1.5</t>
  </si>
  <si>
    <t>Olflex classic 110 56G1.5</t>
  </si>
  <si>
    <t>Olflex classic 110 61G1.5</t>
  </si>
  <si>
    <t>Olflex classic 110 65G1.5</t>
  </si>
  <si>
    <t>Olflex classic 110 80G1.5</t>
  </si>
  <si>
    <t>Olflex classic 110 100G1.5</t>
  </si>
  <si>
    <t>Olflex classic 110 2X2.5</t>
  </si>
  <si>
    <t>Olflex classic 110 3G2.5</t>
  </si>
  <si>
    <t>Olflex classic 110 4G2.5</t>
  </si>
  <si>
    <t>Olflex classic 110 5G2.5</t>
  </si>
  <si>
    <t>Olflex classic 110 7G2.5</t>
  </si>
  <si>
    <t>Olflex classic 110 8G2.5</t>
  </si>
  <si>
    <t>Olflex classic 110 12G2.5</t>
  </si>
  <si>
    <t>Olflex classic 110 14G2.5</t>
  </si>
  <si>
    <t>Olflex classic 110 18G2.5</t>
  </si>
  <si>
    <t>Olflex classic 110 25G2.5</t>
  </si>
  <si>
    <t>Olflex classic 110 32G2.5</t>
  </si>
  <si>
    <t>Olflex classic 110 34G2.5</t>
  </si>
  <si>
    <t>Olflex classic 110 42G2.5</t>
  </si>
  <si>
    <t>Olflex classic 110 50G2.5</t>
  </si>
  <si>
    <t>Olflex classic 110 61G2.5</t>
  </si>
  <si>
    <t>Olflex classic 110 100G2.5</t>
  </si>
  <si>
    <t>Olflex classic 110 2X4</t>
  </si>
  <si>
    <t>Olflex classic 110 3G4</t>
  </si>
  <si>
    <t>Olflex classic 110 4G4</t>
  </si>
  <si>
    <t>Olflex classic 110 5G4</t>
  </si>
  <si>
    <t>Olflex classic 110 7G4</t>
  </si>
  <si>
    <t>Olflex classic 110 12G4</t>
  </si>
  <si>
    <t>Olflex classic 110 3G6</t>
  </si>
  <si>
    <t>Olflex classic 110 4G6</t>
  </si>
  <si>
    <t>Olflex classic 110 5G6</t>
  </si>
  <si>
    <t>Olflex classic 110 7G6</t>
  </si>
  <si>
    <t>Olflex classic 110 3G10</t>
  </si>
  <si>
    <t>Olflex classic 110 4G10</t>
  </si>
  <si>
    <t>Olflex classic 110 5G10</t>
  </si>
  <si>
    <t>Olflex classic 110 7G10</t>
  </si>
  <si>
    <t>Olflex classic 110 3G16</t>
  </si>
  <si>
    <t>Olflex classic 110 4G16</t>
  </si>
  <si>
    <t>Olflex classic 110 5G16</t>
  </si>
  <si>
    <t>Olflex classic 110 7G16</t>
  </si>
  <si>
    <t>Olflex classic 110 3G25</t>
  </si>
  <si>
    <t>Olflex classic 110 4G25</t>
  </si>
  <si>
    <t>Olflex classic 110 5G25</t>
  </si>
  <si>
    <t>Olflex classic 110 7G25</t>
  </si>
  <si>
    <t>Olflex classic 110 4G35</t>
  </si>
  <si>
    <t>Olflex classic 110 5G35</t>
  </si>
  <si>
    <t>OPVC-JZ 2X0.5</t>
  </si>
  <si>
    <t>OPVC-JZ 3G0.5</t>
  </si>
  <si>
    <t>OPVC-JZ 4G0.5</t>
  </si>
  <si>
    <t>OPVC-JZ 5G0.5</t>
  </si>
  <si>
    <t>OPVC-JZ 6G0.5</t>
  </si>
  <si>
    <t>OPVC-JZ 7G0.5</t>
  </si>
  <si>
    <t>OPVC-JZ 8G0.5</t>
  </si>
  <si>
    <t>OPVC-JZ 10G0.5</t>
  </si>
  <si>
    <t>OPVC-JZ 12G0.5</t>
  </si>
  <si>
    <t>OPVC-JZ 14G0.5</t>
  </si>
  <si>
    <t>OPVC-JZ 16G0.5</t>
  </si>
  <si>
    <t>OPVC-JZ 18G0.5</t>
  </si>
  <si>
    <t>OPVC-JZ 20G0.5</t>
  </si>
  <si>
    <t>OPVC-JZ 21G0.5</t>
  </si>
  <si>
    <t>OPVC-JZ 25G0.5</t>
  </si>
  <si>
    <t>OPVC-JZ 30G0.5</t>
  </si>
  <si>
    <t>OPVC-JZ 32G0.5</t>
  </si>
  <si>
    <t>OPVC-JZ 35G0.5</t>
  </si>
  <si>
    <t>OPVC-JZ 40G0.5</t>
  </si>
  <si>
    <t>OPVC-JZ 42G0.5</t>
  </si>
  <si>
    <t>OPVC-JZ 50G0.5</t>
  </si>
  <si>
    <t>OPVC-JZ 52G0.5</t>
  </si>
  <si>
    <t>OPVC-JZ 61G0.5</t>
  </si>
  <si>
    <t>OPVC-JZ 65G0.5</t>
  </si>
  <si>
    <t>OPVC-JZ 80G0.5</t>
  </si>
  <si>
    <t>OPVC-JZ 100G0.5</t>
  </si>
  <si>
    <t>OPVC-JZ 2X0.75</t>
  </si>
  <si>
    <t>OPVC-JZ 3G0.75</t>
  </si>
  <si>
    <t>OPVC-JZ 4G0.75</t>
  </si>
  <si>
    <t>OPVC-JZ 5G0.75</t>
  </si>
  <si>
    <t>OPVC-JZ 6G0.75</t>
  </si>
  <si>
    <t>OPVC-JZ 7G0.75</t>
  </si>
  <si>
    <t>OPVC-JZ 8G0.75</t>
  </si>
  <si>
    <t>OPVC-JZ 9G0.75</t>
  </si>
  <si>
    <t>OPVC-JZ 10G0.75</t>
  </si>
  <si>
    <t>OPVC-JZ 12G0.75</t>
  </si>
  <si>
    <t>OPVC-JZ 14G0.75</t>
  </si>
  <si>
    <t>OPVC-JZ 16G0.75</t>
  </si>
  <si>
    <t>OPVC-JZ 18G0.75</t>
  </si>
  <si>
    <t>OPVC-JZ 20G0.75</t>
  </si>
  <si>
    <t>OPVC-JZ 21G0.75</t>
  </si>
  <si>
    <t>OPVC-JZ 25G0.75</t>
  </si>
  <si>
    <t>OPVC-JZ 30G0.75</t>
  </si>
  <si>
    <t>OPVC-JZ 31G0.75</t>
  </si>
  <si>
    <t>OPVC-JZ 32G0.75</t>
  </si>
  <si>
    <t>OPVC-JZ 34G0.75</t>
  </si>
  <si>
    <t>OPVC-JZ 37G0.75</t>
  </si>
  <si>
    <t>OPVC-JZ 40G0.75</t>
  </si>
  <si>
    <t>OPVC-JZ 41G0.75</t>
  </si>
  <si>
    <t>OPVC-JZ 42G0.75</t>
  </si>
  <si>
    <t>OPVC-JZ 50G0.75</t>
  </si>
  <si>
    <t>OPVC-JZ 61G0.75</t>
  </si>
  <si>
    <t>OPVC-JZ 65G0.75</t>
  </si>
  <si>
    <t>OPVC-JZ 80G0.75</t>
  </si>
  <si>
    <t>OPVC-JZ 100G0.75</t>
  </si>
  <si>
    <t>OPVC-JZ 2X1</t>
  </si>
  <si>
    <t>OPVC-JZ 3G1</t>
  </si>
  <si>
    <t>OPVC-JZ 4G1</t>
  </si>
  <si>
    <t>OPVC-JZ 5G1</t>
  </si>
  <si>
    <t>OPVC-JZ 6G1</t>
  </si>
  <si>
    <t>OPVC-JZ 7G1</t>
  </si>
  <si>
    <t>OPVC-JZ 8G1</t>
  </si>
  <si>
    <t>OPVC-JZ 9G1</t>
  </si>
  <si>
    <t>OPVC-JZ 10G1</t>
  </si>
  <si>
    <t>OPVC-JZ 12G1</t>
  </si>
  <si>
    <t>OPVC-JZ 14G1</t>
  </si>
  <si>
    <t>OPVC-JZ 16G1</t>
  </si>
  <si>
    <t>OPVC-JZ 18G1</t>
  </si>
  <si>
    <t>OPVC-JZ 19G1</t>
  </si>
  <si>
    <t>OPVC-JZ 20G1</t>
  </si>
  <si>
    <t>OPVC-JZ 21G1</t>
  </si>
  <si>
    <t>OPVC-JZ 24G1</t>
  </si>
  <si>
    <t>OPVC-JZ 25G1</t>
  </si>
  <si>
    <t>OPVC-JZ 26G1</t>
  </si>
  <si>
    <t>OPVC-JZ 27G1</t>
  </si>
  <si>
    <t>OPVC-JZ 34G1</t>
  </si>
  <si>
    <t>OPVC-JZ 36G1</t>
  </si>
  <si>
    <t>OPVC-JZ 37G1</t>
  </si>
  <si>
    <t>OPVC-JZ 40G1</t>
  </si>
  <si>
    <t>OPVC-JZ 41G1</t>
  </si>
  <si>
    <t>OPVC-JZ 42G1</t>
  </si>
  <si>
    <t>OPVC-JZ 50G1</t>
  </si>
  <si>
    <t>OPVC-JZ 56G1</t>
  </si>
  <si>
    <t>OPVC-JZ 61G1</t>
  </si>
  <si>
    <t>OPVC-JZ 65G1</t>
  </si>
  <si>
    <t>OPVC-JZ 80G1</t>
  </si>
  <si>
    <t>OPVC-JZ 100G1</t>
  </si>
  <si>
    <t>OPVC-JZ 2X1.5</t>
  </si>
  <si>
    <t>OPVC-JZ 3G1.5</t>
  </si>
  <si>
    <t>OPVC-JZ 4G1.5</t>
  </si>
  <si>
    <t>OPVC-JZ 5G1.5</t>
  </si>
  <si>
    <t>OPVC-JZ 6G1.5</t>
  </si>
  <si>
    <t>OPVC-JZ 7G1.5</t>
  </si>
  <si>
    <t>OPVC-JZ 8G1.5</t>
  </si>
  <si>
    <t>OPVC-JZ 9G1.5</t>
  </si>
  <si>
    <t>OPVC-JZ 10G1.5</t>
  </si>
  <si>
    <t>OPVC-JZ 12G1.5</t>
  </si>
  <si>
    <t>OPVC-JZ 14G1.5</t>
  </si>
  <si>
    <t>OPVC-JZ 16G1.5</t>
  </si>
  <si>
    <t>OPVC-JZ 18G1.5</t>
  </si>
  <si>
    <t>OPVC-JZ 19G1.5</t>
  </si>
  <si>
    <t>OPVC-JZ 21G1.5</t>
  </si>
  <si>
    <t>OPVC-JZ 25G1.5</t>
  </si>
  <si>
    <t>OPVC-JZ 30G1.5</t>
  </si>
  <si>
    <t>OPVC-JZ 34G1.5</t>
  </si>
  <si>
    <t>OPVC-JZ 40G1.5</t>
  </si>
  <si>
    <t>OPVC-JZ 42G1.5</t>
  </si>
  <si>
    <t>OPVC-JZ 50G1.5</t>
  </si>
  <si>
    <t>OPVC-JZ 56G1.5</t>
  </si>
  <si>
    <t>OPVC-JZ 61G1.5</t>
  </si>
  <si>
    <t>OPVC-JZ 65G1.5</t>
  </si>
  <si>
    <t>OPVC-JZ 80G1.5</t>
  </si>
  <si>
    <t>OPVC-JZ 100G1.5</t>
  </si>
  <si>
    <t>OPVC-JZ 2X2.5</t>
  </si>
  <si>
    <t>OPVC-JZ 3G2.5</t>
  </si>
  <si>
    <t>OPVC-JZ 4G2.5</t>
  </si>
  <si>
    <t>OPVC-JZ 5G2.5</t>
  </si>
  <si>
    <t>OPVC-JZ 7G2.5</t>
  </si>
  <si>
    <t>OPVC-JZ 8G2.5</t>
  </si>
  <si>
    <t>OPVC-JZ 12G2.5</t>
  </si>
  <si>
    <t>OPVC-JZ 14G2.5</t>
  </si>
  <si>
    <t>OPVC-JZ 18G2.5</t>
  </si>
  <si>
    <t>OPVC-JZ 25G2.5</t>
  </si>
  <si>
    <t>OPVC-JZ 32G2.5</t>
  </si>
  <si>
    <t>OPVC-JZ 34G2.5</t>
  </si>
  <si>
    <t>OPVC-JZ 42G2.5</t>
  </si>
  <si>
    <t>OPVC-JZ 50G2.5</t>
  </si>
  <si>
    <t>OPVC-JZ 61G2.5</t>
  </si>
  <si>
    <t>OPVC-JZ 100G2.5</t>
  </si>
  <si>
    <t>OPVC-JZ 2X4</t>
  </si>
  <si>
    <t>OPVC-JZ 3G4</t>
  </si>
  <si>
    <t>OPVC-JZ 4G4</t>
  </si>
  <si>
    <t>OPVC-JZ 5G4</t>
  </si>
  <si>
    <t>OPVC-JZ 7G4</t>
  </si>
  <si>
    <t>OPVC-JZ 12G4</t>
  </si>
  <si>
    <t>OPVC-JZ 3G6</t>
  </si>
  <si>
    <t>OPVC-JZ 4G6</t>
  </si>
  <si>
    <t>OPVC-JZ 5G6</t>
  </si>
  <si>
    <t>OPVC-JZ 7G6</t>
  </si>
  <si>
    <t>OPVC-JZ 3G10</t>
  </si>
  <si>
    <t>OPVC-JZ 4G10</t>
  </si>
  <si>
    <t>OPVC-JZ 5G10</t>
  </si>
  <si>
    <t>OPVC-JZ 7G10</t>
  </si>
  <si>
    <t>OPVC-JZ 3G16</t>
  </si>
  <si>
    <t>OPVC-JZ 4G16</t>
  </si>
  <si>
    <t>OPVC-JZ 5G16</t>
  </si>
  <si>
    <t>OPVC-JZ 7G16</t>
  </si>
  <si>
    <t>OPVC-JZ 3G25</t>
  </si>
  <si>
    <t>OPVC-JZ 4G25</t>
  </si>
  <si>
    <t>OPVC-JZ 5G25</t>
  </si>
  <si>
    <t>OPVC-JZ 7G25</t>
  </si>
  <si>
    <t>OPVC-JZ 4G35</t>
  </si>
  <si>
    <t>OPVC-JZ 5G35</t>
  </si>
  <si>
    <t>Olflex Classic 115 CY  2X0.5</t>
  </si>
  <si>
    <t>Olflex Classic 115 CY  3G0.5</t>
  </si>
  <si>
    <t>Olflex Classic 115 CY  4G0.5</t>
  </si>
  <si>
    <t>Olflex Classic 115 CY  5G0.5</t>
  </si>
  <si>
    <t>Olflex Classic 115 CY  6G0.5</t>
  </si>
  <si>
    <t>Olflex Classic 115 CY  7G0.5</t>
  </si>
  <si>
    <t>Olflex Classic 115 CY  8G0.5</t>
  </si>
  <si>
    <t>Olflex Classic 115 CY  10G0.5</t>
  </si>
  <si>
    <t>Olflex Classic 115 CY  12G0.5</t>
  </si>
  <si>
    <t>Olflex Classic 115 CY  14G0.5</t>
  </si>
  <si>
    <t>Olflex Classic 115 CY  16G0.5</t>
  </si>
  <si>
    <t>Olflex Classic 115 CY  18G0.5</t>
  </si>
  <si>
    <t>Olflex Classic 115 CY  20G0.5</t>
  </si>
  <si>
    <t>Olflex Classic 115 CY  21G0.5</t>
  </si>
  <si>
    <t>Olflex Classic 115 CY  24G0.5</t>
  </si>
  <si>
    <t>Olflex Classic 115 CY  25G0.5</t>
  </si>
  <si>
    <t>Olflex Classic 115 CY  30G0.5</t>
  </si>
  <si>
    <t>Olflex Classic 115 CY  32G0.5</t>
  </si>
  <si>
    <t>Olflex Classic 115 CY  36G0.5</t>
  </si>
  <si>
    <t>Olflex Classic 115 CY  40G0.5</t>
  </si>
  <si>
    <t>Olflex Classic 115 CY  50G0.5</t>
  </si>
  <si>
    <t>Olflex Classic 115 CY  3G0.75</t>
  </si>
  <si>
    <t>Olflex Classic 115 CY  4G0.75</t>
  </si>
  <si>
    <t>Olflex Classic 115 CY  5G0.75</t>
  </si>
  <si>
    <t>Olflex Classic 115 CY  6G0.75</t>
  </si>
  <si>
    <t>Olflex Classic 115 CY  7G0.75</t>
  </si>
  <si>
    <t>Olflex Classic 115 CY  8G0.75</t>
  </si>
  <si>
    <t>Olflex Classic 115 CY  10G0.75</t>
  </si>
  <si>
    <t>Olflex Classic 115 CY  12G0.75</t>
  </si>
  <si>
    <t>Olflex Classic 115 CY  14G0.75</t>
  </si>
  <si>
    <t>Olflex Classic 115 CY  16G0.75</t>
  </si>
  <si>
    <t>Olflex Classic 115 CY  18G0.75</t>
  </si>
  <si>
    <t>Olflex Classic 115 CY  20G0.75</t>
  </si>
  <si>
    <t>Olflex Classic 115 CY  24G0.75</t>
  </si>
  <si>
    <t>Olflex Classic 115 CY  25G0.75</t>
  </si>
  <si>
    <t>Olflex Classic 115 CY  30G0.75</t>
  </si>
  <si>
    <t>Olflex Classic 115 CY  32G0.75</t>
  </si>
  <si>
    <t>Olflex Classic 115 CY  34G0.75</t>
  </si>
  <si>
    <t>Olflex Classic 115 CY  42G0.75</t>
  </si>
  <si>
    <t>Olflex Classic 115 CY  50G0.75</t>
  </si>
  <si>
    <t>Olflex Classic 115 CY  2X1</t>
  </si>
  <si>
    <t>Olflex Classic 115 CY  3G1</t>
  </si>
  <si>
    <t>Olflex Classic 115 CY  4G1</t>
  </si>
  <si>
    <t>Olflex Classic 115 CY  5G1</t>
  </si>
  <si>
    <t>Olflex Classic 115 CY  6G1</t>
  </si>
  <si>
    <t>Olflex Classic 115 CY  7G1</t>
  </si>
  <si>
    <t>Olflex Classic 115 CY  8G1</t>
  </si>
  <si>
    <t>Olflex Classic 115 CY  10G1</t>
  </si>
  <si>
    <t>Olflex Classic 115 CY  12G1</t>
  </si>
  <si>
    <t>Olflex Classic 115 CY  14G1</t>
  </si>
  <si>
    <t>Olflex Classic 115 CY  16G1</t>
  </si>
  <si>
    <t>Olflex Classic 115 CY  18G1</t>
  </si>
  <si>
    <t>Olflex Classic 115 CY  20G1</t>
  </si>
  <si>
    <t>Olflex Classic 115 CY  24G1</t>
  </si>
  <si>
    <t>Olflex Classic 115 CY  25G1</t>
  </si>
  <si>
    <t>Olflex Classic 115 CY  34G1</t>
  </si>
  <si>
    <t>Olflex Classic 115 CY  50G1</t>
  </si>
  <si>
    <t>Olflex Classic 115 CY  2X1.5</t>
  </si>
  <si>
    <t>Olflex Classic 115 CY  3G1.5</t>
  </si>
  <si>
    <t>Olflex Classic 115 CY  4G1.5</t>
  </si>
  <si>
    <t>Olflex Classic 115 CY  5G1.5</t>
  </si>
  <si>
    <t>Olflex Classic 115 CY  7G1.5</t>
  </si>
  <si>
    <t>Olflex Classic 115 CY  8G1.5</t>
  </si>
  <si>
    <t>Olflex Classic 115 CY  10G1.5</t>
  </si>
  <si>
    <t>Olflex Classic 115 CY  12G1.5</t>
  </si>
  <si>
    <t>Olflex Classic 115 CY  14G1.5</t>
  </si>
  <si>
    <t>Olflex Classic 115 CY  16G1.5</t>
  </si>
  <si>
    <t>Olflex Classic 115 CY  18G1.5</t>
  </si>
  <si>
    <t>Olflex Classic 115 CY  24G1.5</t>
  </si>
  <si>
    <t>Olflex Classic 115 CY  25G1.5</t>
  </si>
  <si>
    <t>Olflex Classic 115 CY  30G1.5</t>
  </si>
  <si>
    <t>Olflex Classic 115 CY  42G1.5</t>
  </si>
  <si>
    <t>Olflex Classic 115 CY  2X2.5</t>
  </si>
  <si>
    <t>Olflex Classic 115 CY  3G2.5</t>
  </si>
  <si>
    <t>Olflex Classic 115 CY  4G2.5</t>
  </si>
  <si>
    <t>Olflex Classic 115 CY  5G2.5</t>
  </si>
  <si>
    <t>Olflex Classic 115 CY  7G2.5</t>
  </si>
  <si>
    <t>Olflex Classic 115 CY  12G2.5</t>
  </si>
  <si>
    <t>Olflex Classic 115 CY  18G2.5</t>
  </si>
  <si>
    <t>Olflex Classic 115 CY  25G2.5</t>
  </si>
  <si>
    <t>Olflex Classic 115 CY  3G4</t>
  </si>
  <si>
    <t>Olflex Classic 115 CY  4G4</t>
  </si>
  <si>
    <t>Olflex Classic 115 CY  5G4</t>
  </si>
  <si>
    <t>Olflex Classic 115 CY  7G4</t>
  </si>
  <si>
    <t>Olflex Classic 115 CY  3G6</t>
  </si>
  <si>
    <t>Olflex Classic 115 CY  4G6</t>
  </si>
  <si>
    <t>Olflex Classic 115 CY  5G6</t>
  </si>
  <si>
    <t>Olflex Classic 115 CY  3G10</t>
  </si>
  <si>
    <t>Olflex Classic 115 CY  4G10</t>
  </si>
  <si>
    <t>Olflex Classic 115 CY  5G10</t>
  </si>
  <si>
    <t>Olflex Classic 115 CY  4G16</t>
  </si>
  <si>
    <t>Olflex Classic 115 CY  5G16</t>
  </si>
  <si>
    <t>Olflex Classic 115 CY  4G25</t>
  </si>
  <si>
    <t>Olflex Classic 115 CY  5G25</t>
  </si>
  <si>
    <t>Olflex Classic 115 CY  4G35</t>
  </si>
  <si>
    <t>สายชีลด์  LiYCY-JZ  2X0.5</t>
  </si>
  <si>
    <t>สายชีลด์  LiYCY-JZ  3G0.5</t>
  </si>
  <si>
    <t>สายชีลด์  LiYCY-JZ  4G0.5</t>
  </si>
  <si>
    <t>สายชีลด์  LiYCY-JZ  5G0.5</t>
  </si>
  <si>
    <t>สายชีลด์  LiYCY-JZ  6G0.5</t>
  </si>
  <si>
    <t>สายชีลด์  LiYCY-JZ  7G0.5</t>
  </si>
  <si>
    <t>สายชีลด์  LiYCY-JZ  8G0.5</t>
  </si>
  <si>
    <t>สายชีลด์  LiYCY-JZ  10G0.5</t>
  </si>
  <si>
    <t>สายชีลด์  LiYCY-JZ  12G0.5</t>
  </si>
  <si>
    <t>สายชีลด์  LiYCY-JZ  14G0.5</t>
  </si>
  <si>
    <t>สายชีลด์  LiYCY-JZ  16G0.5</t>
  </si>
  <si>
    <t>สายชีลด์  LiYCY-JZ  18G0.5</t>
  </si>
  <si>
    <t>สายชีลด์  LiYCY-JZ  20G0.5</t>
  </si>
  <si>
    <t>สายชีลด์  LiYCY-JZ  21G0.5</t>
  </si>
  <si>
    <t>สายชีลด์  LiYCY-JZ  24G0.5</t>
  </si>
  <si>
    <t>สายชีลด์  LiYCY-JZ  25G0.5</t>
  </si>
  <si>
    <t>สายชีลด์  LiYCY-JZ  30G0.5</t>
  </si>
  <si>
    <t>สายชีลด์  LiYCY-JZ  32G0.5</t>
  </si>
  <si>
    <t>สายชีลด์  LiYCY-JZ  36G0.5</t>
  </si>
  <si>
    <t>สายชีลด์  LiYCY-JZ  40G0.5</t>
  </si>
  <si>
    <t>สายชีลด์  LiYCY-JZ  50G0.5</t>
  </si>
  <si>
    <t>สายชีลด์  LiYCY-JZ  3G0.75</t>
  </si>
  <si>
    <t>สายชีลด์  LiYCY-JZ  4G0.75</t>
  </si>
  <si>
    <t>สายชีลด์  LiYCY-JZ  5G0.75</t>
  </si>
  <si>
    <t>สายชีลด์  LiYCY-JZ  6G0.75</t>
  </si>
  <si>
    <t>สายชีลด์  LiYCY-JZ  7G0.75</t>
  </si>
  <si>
    <t>สายชีลด์  LiYCY-JZ  8G0.75</t>
  </si>
  <si>
    <t>สายชีลด์  LiYCY-JZ  10G0.75</t>
  </si>
  <si>
    <t>สายชีลด์  LiYCY-JZ  12G0.75</t>
  </si>
  <si>
    <t>สายชีลด์  LiYCY-JZ  14G0.75</t>
  </si>
  <si>
    <t>สายชีลด์  LiYCY-JZ  16G0.75</t>
  </si>
  <si>
    <t>สายชีลด์  LiYCY-JZ  18G0.75</t>
  </si>
  <si>
    <t>สายชีลด์  LiYCY-JZ  20G0.75</t>
  </si>
  <si>
    <t>สายชีลด์  LiYCY-JZ  24G0.75</t>
  </si>
  <si>
    <t>สายชีลด์  LiYCY-JZ  25G0.75</t>
  </si>
  <si>
    <t>สายชีลด์  LiYCY-JZ  30G0.75</t>
  </si>
  <si>
    <t>สายชีลด์  LiYCY-JZ  32G0.75</t>
  </si>
  <si>
    <t>สายชีลด์  LiYCY-JZ  34G0.75</t>
  </si>
  <si>
    <t>สายชีลด์  LiYCY-JZ  42G0.75</t>
  </si>
  <si>
    <t>สายชีลด์  LiYCY-JZ  50G0.75</t>
  </si>
  <si>
    <t>สายชีลด์  LiYCY-JZ  2X1</t>
  </si>
  <si>
    <t>สายชีลด์  LiYCY-JZ  3G1</t>
  </si>
  <si>
    <t>สายชีลด์  LiYCY-JZ  4G1</t>
  </si>
  <si>
    <t>สายชีลด์  LiYCY-JZ  5G1</t>
  </si>
  <si>
    <t>สายชีลด์  LiYCY-JZ  6G1</t>
  </si>
  <si>
    <t>สายชีลด์  LiYCY-JZ  7G1</t>
  </si>
  <si>
    <t>สายชีลด์  LiYCY-JZ  8G1</t>
  </si>
  <si>
    <t>สายชีลด์  LiYCY-JZ  10G1</t>
  </si>
  <si>
    <t>สายชีลด์  LiYCY-JZ  12G1</t>
  </si>
  <si>
    <t>สายชีลด์  LiYCY-JZ  14G1</t>
  </si>
  <si>
    <t>สายชีลด์  LiYCY-JZ  16G1</t>
  </si>
  <si>
    <t>สายชีลด์  LiYCY-JZ  18G1</t>
  </si>
  <si>
    <t>สายชีลด์  LiYCY-JZ  20G1</t>
  </si>
  <si>
    <t>สายชีลด์  LiYCY-JZ  24G1</t>
  </si>
  <si>
    <t>สายชีลด์  LiYCY-JZ  25G1</t>
  </si>
  <si>
    <t>สายชีลด์  LiYCY-JZ  34G1</t>
  </si>
  <si>
    <t>สายชีลด์  LiYCY-JZ  50G1</t>
  </si>
  <si>
    <t>สายชีลด์  LiYCY-JZ  2X1.5</t>
  </si>
  <si>
    <t>สายชีลด์  LiYCY-JZ  3G1.5</t>
  </si>
  <si>
    <t>สายชีลด์  LiYCY-JZ  4G1.5</t>
  </si>
  <si>
    <t>สายชีลด์  LiYCY-JZ  5G1.5</t>
  </si>
  <si>
    <t>สายชีลด์  LiYCY-JZ  7G1.5</t>
  </si>
  <si>
    <t>สายชีลด์  LiYCY-JZ  8G1.5</t>
  </si>
  <si>
    <t>สายชีลด์  LiYCY-JZ  10G1.5</t>
  </si>
  <si>
    <t>สายชีลด์  LiYCY-JZ  12G1.5</t>
  </si>
  <si>
    <t>สายชีลด์  LiYCY-JZ  14G1.5</t>
  </si>
  <si>
    <t>สายชีลด์  LiYCY-JZ  16G1.5</t>
  </si>
  <si>
    <t>สายชีลด์  LiYCY-JZ  18G1.5</t>
  </si>
  <si>
    <t>สายชีลด์  LiYCY-JZ  24G1.5</t>
  </si>
  <si>
    <t>สายชีลด์  LiYCY-JZ  25G1.5</t>
  </si>
  <si>
    <t>สายชีลด์  LiYCY-JZ  30G1.5</t>
  </si>
  <si>
    <t>สายชีลด์  LiYCY-JZ  42G1.5</t>
  </si>
  <si>
    <t>สายชีลด์  LiYCY-JZ  2X2.5</t>
  </si>
  <si>
    <t>สายชีลด์  LiYCY-JZ  3G2.5</t>
  </si>
  <si>
    <t>สายชีลด์  LiYCY-JZ  4G2.5</t>
  </si>
  <si>
    <t>สายชีลด์  LiYCY-JZ  5G2.5</t>
  </si>
  <si>
    <t>สายชีลด์  LiYCY-JZ  7G2.5</t>
  </si>
  <si>
    <t>สายชีลด์  LiYCY-JZ  12G2.5</t>
  </si>
  <si>
    <t>สายชีลด์  LiYCY-JZ  18G2.5</t>
  </si>
  <si>
    <t>สายชีลด์  LiYCY-JZ  25G2.5</t>
  </si>
  <si>
    <t>สายชีลด์  LiYCY-JZ  3G4</t>
  </si>
  <si>
    <t>สายชีลด์  LiYCY-JZ  4G4</t>
  </si>
  <si>
    <t>สายชีลด์  LiYCY-JZ  5G4</t>
  </si>
  <si>
    <t>สายชีลด์  LiYCY-JZ  7G4</t>
  </si>
  <si>
    <t>สายชีลด์  LiYCY-JZ  3G6</t>
  </si>
  <si>
    <t>สายชีลด์  LiYCY-JZ  4G6</t>
  </si>
  <si>
    <t>สายชีลด์  LiYCY-JZ  5G6</t>
  </si>
  <si>
    <t>สายชีลด์  LiYCY-JZ  3G10</t>
  </si>
  <si>
    <t>สายชีลด์  LiYCY-JZ  4G10</t>
  </si>
  <si>
    <t>สายชีลด์  LiYCY-JZ  5G10</t>
  </si>
  <si>
    <t>สายชีลด์  LiYCY-JZ  4G16</t>
  </si>
  <si>
    <t>สายชีลด์  LiYCY-JZ  5G16</t>
  </si>
  <si>
    <t>สายชีลด์  LiYCY-JZ  4G25</t>
  </si>
  <si>
    <t>สายชีลด์  LiYCY-JZ  5G25</t>
  </si>
  <si>
    <t>สายชีลด์  LiYCY-JZ  4G35</t>
  </si>
  <si>
    <t>H07V-K 1X1.5mm2</t>
  </si>
  <si>
    <t>H07V-K 1X2.5mm2</t>
  </si>
  <si>
    <t>H07V-K 1X4mm2</t>
  </si>
  <si>
    <t>H07V-K 1X6mm2</t>
  </si>
  <si>
    <t>H07V-K 1X10mm2</t>
  </si>
  <si>
    <t>H07V-K 1X16mm2</t>
  </si>
  <si>
    <t>H07V-K 1X25mm2</t>
  </si>
  <si>
    <t>H07V-K 1X35mm2</t>
  </si>
  <si>
    <t>H07V-K 1X50mm2</t>
  </si>
  <si>
    <t>H07V-K 1X70mm2</t>
  </si>
  <si>
    <t>H07V-K 1X95mm2</t>
  </si>
  <si>
    <t>H07V-K 1X120mm2</t>
  </si>
  <si>
    <t>H07V-K 1X150mm2</t>
  </si>
  <si>
    <t>H07V-K 1X185mm2</t>
  </si>
  <si>
    <t>H07V-K 1X240mm2</t>
  </si>
  <si>
    <t>LiYCY  2X0.5</t>
  </si>
  <si>
    <t>LiYCY  3G0.5</t>
  </si>
  <si>
    <t>LiYCY  4G0.5</t>
  </si>
  <si>
    <t>LiYCY  5G0.5</t>
  </si>
  <si>
    <t>LiYCY  6G0.5</t>
  </si>
  <si>
    <t>LiYCY  7G0.5</t>
  </si>
  <si>
    <t>LiYCY  8G0.5</t>
  </si>
  <si>
    <t>LiYCY  10G0.5</t>
  </si>
  <si>
    <t>LiYCY  12G0.5</t>
  </si>
  <si>
    <t>LiYCY  14G0.5</t>
  </si>
  <si>
    <t>LiYCY  16G0.5</t>
  </si>
  <si>
    <t>LiYCY  18G0.5</t>
  </si>
  <si>
    <t>LiYCY  20G0.5</t>
  </si>
  <si>
    <t>LiYCY  21G0.5</t>
  </si>
  <si>
    <t>LiYCY  24G0.5</t>
  </si>
  <si>
    <t>LiYCY  25G0.5</t>
  </si>
  <si>
    <t>LiYCY  30G0.5</t>
  </si>
  <si>
    <t>LiYCY  32G0.5</t>
  </si>
  <si>
    <t>LiYCY  36G0.5</t>
  </si>
  <si>
    <t>LiYCY  40G0.5</t>
  </si>
  <si>
    <t>LiYCY  50G0.5</t>
  </si>
  <si>
    <t>LiYCY  3G0.75</t>
  </si>
  <si>
    <t>LiYCY  4G0.75</t>
  </si>
  <si>
    <t>LiYCY  5G0.75</t>
  </si>
  <si>
    <t>LiYCY  6G0.75</t>
  </si>
  <si>
    <t>LiYCY  7G0.75</t>
  </si>
  <si>
    <t>LiYCY  8G0.75</t>
  </si>
  <si>
    <t>LiYCY  10G0.75</t>
  </si>
  <si>
    <t>LiYCY  12G0.75</t>
  </si>
  <si>
    <t>LiYCY  14G0.75</t>
  </si>
  <si>
    <t>LiYCY  16G0.75</t>
  </si>
  <si>
    <t>LiYCY  18G0.75</t>
  </si>
  <si>
    <t>LiYCY  20G0.75</t>
  </si>
  <si>
    <t>LiYCY  24G0.75</t>
  </si>
  <si>
    <t>LiYCY  25G0.75</t>
  </si>
  <si>
    <t>LiYCY  30G0.75</t>
  </si>
  <si>
    <t>LiYCY  32G0.75</t>
  </si>
  <si>
    <t>LiYCY  34G0.75</t>
  </si>
  <si>
    <t>LiYCY  42G0.75</t>
  </si>
  <si>
    <t>LiYCY  50G0.75</t>
  </si>
  <si>
    <t>LiYCY  2X1</t>
  </si>
  <si>
    <t>LiYCY  3G1</t>
  </si>
  <si>
    <t>LiYCY  4G1</t>
  </si>
  <si>
    <t>LiYCY  5G1</t>
  </si>
  <si>
    <t>LiYCY  6G1</t>
  </si>
  <si>
    <t>LiYCY  7G1</t>
  </si>
  <si>
    <t>LiYCY  8G1</t>
  </si>
  <si>
    <t>LiYCY  10G1</t>
  </si>
  <si>
    <t>LiYCY  12G1</t>
  </si>
  <si>
    <t>LiYCY  14G1</t>
  </si>
  <si>
    <t>LiYCY  16G1</t>
  </si>
  <si>
    <t>LiYCY  18G1</t>
  </si>
  <si>
    <t>LiYCY  20G1</t>
  </si>
  <si>
    <t>LiYCY  24G1</t>
  </si>
  <si>
    <t>LiYCY  25G1</t>
  </si>
  <si>
    <t>LiYCY  34G1</t>
  </si>
  <si>
    <t>LiYCY  50G1</t>
  </si>
  <si>
    <t>LiYCY  2X1.5</t>
  </si>
  <si>
    <t>LiYCY  3G1.5</t>
  </si>
  <si>
    <t>LiYCY  4G1.5</t>
  </si>
  <si>
    <t>LiYCY  5G1.5</t>
  </si>
  <si>
    <t>LiYCY  7G1.5</t>
  </si>
  <si>
    <t>LiYCY  8G1.5</t>
  </si>
  <si>
    <t>LiYCY  10G1.5</t>
  </si>
  <si>
    <t>LiYCY  12G1.5</t>
  </si>
  <si>
    <t>LiYCY  14G1.5</t>
  </si>
  <si>
    <t>LiYCY  16G1.5</t>
  </si>
  <si>
    <t>LiYCY  18G1.5</t>
  </si>
  <si>
    <t>LiYCY  24G1.5</t>
  </si>
  <si>
    <t>LiYCY  25G1.5</t>
  </si>
  <si>
    <t>LiYCY  30G1.5</t>
  </si>
  <si>
    <t>LiYCY  42G1.5</t>
  </si>
  <si>
    <t>LiYCY  2X2.5</t>
  </si>
  <si>
    <t>LiYCY  3G2.5</t>
  </si>
  <si>
    <t>LiYCY  4G2.5</t>
  </si>
  <si>
    <t>LiYCY  5G2.5</t>
  </si>
  <si>
    <t>LiYCY  7G2.5</t>
  </si>
  <si>
    <t>LiYCY  12G2.5</t>
  </si>
  <si>
    <t>LiYCY  18G2.5</t>
  </si>
  <si>
    <t>LiYCY  25G2.5</t>
  </si>
  <si>
    <t>LiYCY  3G4</t>
  </si>
  <si>
    <t>LiYCY  4G4</t>
  </si>
  <si>
    <t>LiYCY  5G4</t>
  </si>
  <si>
    <t>LiYCY  7G4</t>
  </si>
  <si>
    <t>LiYCY  3G6</t>
  </si>
  <si>
    <t>LiYCY  4G6</t>
  </si>
  <si>
    <t>LiYCY  5G6</t>
  </si>
  <si>
    <t>LiYCY  3G10</t>
  </si>
  <si>
    <t>LiYCY  4G10</t>
  </si>
  <si>
    <t>LiYCY  5G10</t>
  </si>
  <si>
    <t>LiYCY  4G16</t>
  </si>
  <si>
    <t>LiYCY  5G16</t>
  </si>
  <si>
    <t>LiYCY  4G25</t>
  </si>
  <si>
    <t>LiYCY  5G25</t>
  </si>
  <si>
    <t>LiYCY  4G35</t>
  </si>
  <si>
    <t>JZ 500 Volt 2X0.5</t>
  </si>
  <si>
    <t>JZ 500 Volt 3G0.5</t>
  </si>
  <si>
    <t>JZ 500 Volt 4G0.5</t>
  </si>
  <si>
    <t>JZ 500 Volt 5G0.5</t>
  </si>
  <si>
    <t>JZ 500 Volt 6G0.5</t>
  </si>
  <si>
    <t>JZ 500 Volt 7G0.5</t>
  </si>
  <si>
    <t>JZ 500 Volt 8G0.5</t>
  </si>
  <si>
    <t>JZ 500 Volt 10G0.5</t>
  </si>
  <si>
    <t>JZ 500 Volt 12G0.5</t>
  </si>
  <si>
    <t>JZ 500 Volt 14G0.5</t>
  </si>
  <si>
    <t>JZ 500 Volt 16G0.5</t>
  </si>
  <si>
    <t>JZ 500 Volt 18G0.5</t>
  </si>
  <si>
    <t>JZ 500 Volt 20G0.5</t>
  </si>
  <si>
    <t>JZ 500 Volt 21G0.5</t>
  </si>
  <si>
    <t>JZ 500 Volt 25G0.5</t>
  </si>
  <si>
    <t>JZ 500 Volt 30G0.5</t>
  </si>
  <si>
    <t>JZ 500 Volt 32G0.5</t>
  </si>
  <si>
    <t>JZ 500 Volt 35G0.5</t>
  </si>
  <si>
    <t>JZ 500 Volt 40G0.5</t>
  </si>
  <si>
    <t>JZ 500 Volt 42G0.5</t>
  </si>
  <si>
    <t>JZ 500 Volt 50G0.5</t>
  </si>
  <si>
    <t>JZ 500 Volt 52G0.5</t>
  </si>
  <si>
    <t>JZ 500 Volt 61G0.5</t>
  </si>
  <si>
    <t>JZ 500 Volt 65G0.5</t>
  </si>
  <si>
    <t>JZ 500 Volt 80G0.5</t>
  </si>
  <si>
    <t>JZ 500 Volt 100G0.5</t>
  </si>
  <si>
    <t>JZ 500 Volt 2X0.75</t>
  </si>
  <si>
    <t>JZ 500 Volt 3G0.75</t>
  </si>
  <si>
    <t>JZ 500 Volt 4G0.75</t>
  </si>
  <si>
    <t>JZ 500 Volt 5G0.75</t>
  </si>
  <si>
    <t>JZ 500 Volt 6G0.75</t>
  </si>
  <si>
    <t>JZ 500 Volt 7G0.75</t>
  </si>
  <si>
    <t>JZ 500 Volt 8G0.75</t>
  </si>
  <si>
    <t>JZ 500 Volt 9G0.75</t>
  </si>
  <si>
    <t>JZ 500 Volt 10G0.75</t>
  </si>
  <si>
    <t>JZ 500 Volt 12G0.75</t>
  </si>
  <si>
    <t>JZ 500 Volt 14G0.75</t>
  </si>
  <si>
    <t>JZ 500 Volt 16G0.75</t>
  </si>
  <si>
    <t>JZ 500 Volt 18G0.75</t>
  </si>
  <si>
    <t>JZ 500 Volt 20G0.75</t>
  </si>
  <si>
    <t>JZ 500 Volt 21G0.75</t>
  </si>
  <si>
    <t>JZ 500 Volt 25G0.75</t>
  </si>
  <si>
    <t>JZ 500 Volt 30G0.75</t>
  </si>
  <si>
    <t>JZ 500 Volt 31G0.75</t>
  </si>
  <si>
    <t>JZ 500 Volt 32G0.75</t>
  </si>
  <si>
    <t>JZ 500 Volt 34G0.75</t>
  </si>
  <si>
    <t>JZ 500 Volt 37G0.75</t>
  </si>
  <si>
    <t>JZ 500 Volt 40G0.75</t>
  </si>
  <si>
    <t>JZ 500 Volt 41G0.75</t>
  </si>
  <si>
    <t>JZ 500 Volt 42G0.75</t>
  </si>
  <si>
    <t>JZ 500 Volt 50G0.75</t>
  </si>
  <si>
    <t>JZ 500 Volt 61G0.75</t>
  </si>
  <si>
    <t>JZ 500 Volt 65G0.75</t>
  </si>
  <si>
    <t>JZ 500 Volt 80G0.75</t>
  </si>
  <si>
    <t>JZ 500 Volt 100G0.75</t>
  </si>
  <si>
    <t>JZ 500 Volt 2X1</t>
  </si>
  <si>
    <t>JZ 500 Volt 3G1</t>
  </si>
  <si>
    <t>JZ 500 Volt 4G1</t>
  </si>
  <si>
    <t>JZ 500 Volt 5G1</t>
  </si>
  <si>
    <t>JZ 500 Volt 6G1</t>
  </si>
  <si>
    <t>JZ 500 Volt 7G1</t>
  </si>
  <si>
    <t>JZ 500 Volt 8G1</t>
  </si>
  <si>
    <t>JZ 500 Volt 9G1</t>
  </si>
  <si>
    <t>JZ 500 Volt 10G1</t>
  </si>
  <si>
    <t>JZ 500 Volt 12G1</t>
  </si>
  <si>
    <t>JZ 500 Volt 14G1</t>
  </si>
  <si>
    <t>JZ 500 Volt 16G1</t>
  </si>
  <si>
    <t>JZ 500 Volt 18G1</t>
  </si>
  <si>
    <t>JZ 500 Volt 19G1</t>
  </si>
  <si>
    <t>JZ 500 Volt 20G1</t>
  </si>
  <si>
    <t>JZ 500 Volt 21G1</t>
  </si>
  <si>
    <t>JZ 500 Volt 24G1</t>
  </si>
  <si>
    <t>JZ 500 Volt 25G1</t>
  </si>
  <si>
    <t>JZ 500 Volt 26G1</t>
  </si>
  <si>
    <t>JZ 500 Volt 27G1</t>
  </si>
  <si>
    <t>JZ 500 Volt 34G1</t>
  </si>
  <si>
    <t>JZ 500 Volt 36G1</t>
  </si>
  <si>
    <t>JZ 500 Volt 37G1</t>
  </si>
  <si>
    <t>JZ 500 Volt 40G1</t>
  </si>
  <si>
    <t>JZ 500 Volt 41G1</t>
  </si>
  <si>
    <t>JZ 500 Volt 42G1</t>
  </si>
  <si>
    <t>JZ 500 Volt 50G1</t>
  </si>
  <si>
    <t>JZ 500 Volt 56G1</t>
  </si>
  <si>
    <t>JZ 500 Volt 61G1</t>
  </si>
  <si>
    <t>JZ 500 Volt 65G1</t>
  </si>
  <si>
    <t>JZ 500 Volt 80G1</t>
  </si>
  <si>
    <t>JZ 500 Volt 100G1</t>
  </si>
  <si>
    <t>JZ 500 Volt 2X1.5</t>
  </si>
  <si>
    <t>JZ 500 Volt 3G1.5</t>
  </si>
  <si>
    <t>JZ 500 Volt 4G1.5</t>
  </si>
  <si>
    <t>JZ 500 Volt 5G1.5</t>
  </si>
  <si>
    <t>JZ 500 Volt 6G1.5</t>
  </si>
  <si>
    <t>JZ 500 Volt 7G1.5</t>
  </si>
  <si>
    <t>JZ 500 Volt 8G1.5</t>
  </si>
  <si>
    <t>JZ 500 Volt 9G1.5</t>
  </si>
  <si>
    <t>JZ 500 Volt 10G1.5</t>
  </si>
  <si>
    <t>JZ 500 Volt 12G1.5</t>
  </si>
  <si>
    <t>JZ 500 Volt 14G1.5</t>
  </si>
  <si>
    <t>JZ 500 Volt 16G1.5</t>
  </si>
  <si>
    <t>JZ 500 Volt 18G1.5</t>
  </si>
  <si>
    <t>JZ 500 Volt 19G1.5</t>
  </si>
  <si>
    <t>JZ 500 Volt 21G1.5</t>
  </si>
  <si>
    <t>JZ 500 Volt 25G1.5</t>
  </si>
  <si>
    <t>JZ 500 Volt 30G1.5</t>
  </si>
  <si>
    <t>JZ 500 Volt 34G1.5</t>
  </si>
  <si>
    <t>JZ 500 Volt 40G1.5</t>
  </si>
  <si>
    <t>JZ 500 Volt 42G1.5</t>
  </si>
  <si>
    <t>JZ 500 Volt 50G1.5</t>
  </si>
  <si>
    <t>JZ 500 Volt 56G1.5</t>
  </si>
  <si>
    <t>JZ 500 Volt 61G1.5</t>
  </si>
  <si>
    <t>JZ 500 Volt 65G1.5</t>
  </si>
  <si>
    <t>JZ 500 Volt 80G1.5</t>
  </si>
  <si>
    <t>JZ 500 Volt 100G1.5</t>
  </si>
  <si>
    <t>JZ 500 Volt 2X2.5</t>
  </si>
  <si>
    <t>JZ 500 Volt 3G2.5</t>
  </si>
  <si>
    <t>JZ 500 Volt 4G2.5</t>
  </si>
  <si>
    <t>JZ 500 Volt 5G2.5</t>
  </si>
  <si>
    <t>JZ 500 Volt 7G2.5</t>
  </si>
  <si>
    <t>JZ 500 Volt 8G2.5</t>
  </si>
  <si>
    <t>JZ 500 Volt 12G2.5</t>
  </si>
  <si>
    <t>JZ 500 Volt 14G2.5</t>
  </si>
  <si>
    <t>JZ 500 Volt 18G2.5</t>
  </si>
  <si>
    <t>JZ 500 Volt 25G2.5</t>
  </si>
  <si>
    <t>JZ 500 Volt 32G2.5</t>
  </si>
  <si>
    <t>JZ 500 Volt 34G2.5</t>
  </si>
  <si>
    <t>JZ 500 Volt 42G2.5</t>
  </si>
  <si>
    <t>JZ 500 Volt 50G2.5</t>
  </si>
  <si>
    <t>JZ 500 Volt 61G2.5</t>
  </si>
  <si>
    <t>JZ 500 Volt 100G2.5</t>
  </si>
  <si>
    <t>JZ 500 Volt 2X4</t>
  </si>
  <si>
    <t>JZ 500 Volt 3G4</t>
  </si>
  <si>
    <t>JZ 500 Volt 4G4</t>
  </si>
  <si>
    <t>JZ 500 Volt 5G4</t>
  </si>
  <si>
    <t>JZ 500 Volt 7G4</t>
  </si>
  <si>
    <t>JZ 500 Volt 12G4</t>
  </si>
  <si>
    <t>JZ 500 Volt 3G6</t>
  </si>
  <si>
    <t>JZ 500 Volt 4G6</t>
  </si>
  <si>
    <t>JZ 500 Volt 5G6</t>
  </si>
  <si>
    <t>JZ 500 Volt 7G6</t>
  </si>
  <si>
    <t>JZ 500 Volt 3G10</t>
  </si>
  <si>
    <t>JZ 500 Volt 4G10</t>
  </si>
  <si>
    <t>JZ 500 Volt 5G10</t>
  </si>
  <si>
    <t>JZ 500 Volt 7G10</t>
  </si>
  <si>
    <t>JZ 500 Volt 3G16</t>
  </si>
  <si>
    <t>JZ 500 Volt 4G16</t>
  </si>
  <si>
    <t>JZ 500 Volt 5G16</t>
  </si>
  <si>
    <t>JZ 500 Volt 7G16</t>
  </si>
  <si>
    <t>JZ 500 Volt 3G25</t>
  </si>
  <si>
    <t>JZ 500 Volt 4G25</t>
  </si>
  <si>
    <t>JZ 500 Volt 5G25</t>
  </si>
  <si>
    <t>JZ 500 Volt 7G25</t>
  </si>
  <si>
    <t>JZ 500 Volt 4G35</t>
  </si>
  <si>
    <t>JZ 500 Volt 5G35</t>
  </si>
  <si>
    <t>https://nyxcable.com/product/olflex-classic-115-cy/</t>
  </si>
  <si>
    <t>H05V-K 1X0.5mm2</t>
  </si>
  <si>
    <t>H05V-K 1X0.75mm2</t>
  </si>
  <si>
    <t>H05V-K 1X1mm2</t>
  </si>
  <si>
    <t>https://nyxcable.com/product/h07v-k/</t>
  </si>
  <si>
    <t>https://nyxcable.com/IEC06/H05V-K1x0.5</t>
  </si>
  <si>
    <t>https://nyxcable.com/IEC06/H05V-K1x0.75</t>
  </si>
  <si>
    <t>https://nyxcable.com/IEC06/H05V-K1x1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</si>
</sst>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"/>
    <numFmt numFmtId="188" formatCode="0.000"/>
  </numFmts>
  <fonts count="7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rgb="FFFFFF00"/>
      <name val="Tahoma"/>
      <family val="2"/>
      <scheme val="minor"/>
    </font>
    <font>
      <vertAlign val="superscript"/>
      <sz val="11"/>
      <color rgb="FFFFFF00"/>
      <name val="Tahoma"/>
      <family val="2"/>
      <scheme val="minor"/>
    </font>
    <font>
      <b/>
      <sz val="11"/>
      <color rgb="FFFF0000"/>
      <name val="Tahoma"/>
      <family val="2"/>
      <scheme val="minor"/>
    </font>
    <font>
      <sz val="11"/>
      <name val="Tahoma"/>
      <family val="2"/>
      <scheme val="minor"/>
    </font>
    <font>
      <sz val="11"/>
      <color rgb="FFFF0000"/>
      <name val="Tahoma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87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187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87" fontId="2" fillId="2" borderId="3" xfId="0" applyNumberFormat="1" applyFont="1" applyFill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87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187" fontId="0" fillId="4" borderId="1" xfId="0" applyNumberFormat="1" applyFill="1" applyBorder="1" applyAlignment="1">
      <alignment horizontal="center"/>
    </xf>
    <xf numFmtId="0" fontId="4" fillId="3" borderId="0" xfId="0" applyFont="1" applyFill="1" applyAlignment="1">
      <alignment horizontal="left" vertical="center"/>
    </xf>
    <xf numFmtId="2" fontId="0" fillId="0" borderId="1" xfId="0" applyNumberFormat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4" fillId="3" borderId="0" xfId="0" applyNumberFormat="1" applyFont="1" applyFill="1" applyAlignment="1">
      <alignment horizontal="center"/>
    </xf>
    <xf numFmtId="2" fontId="2" fillId="2" borderId="2" xfId="0" applyNumberFormat="1" applyFont="1" applyFill="1" applyBorder="1" applyAlignment="1">
      <alignment horizontal="center" vertical="center"/>
    </xf>
    <xf numFmtId="2" fontId="2" fillId="2" borderId="3" xfId="0" quotePrefix="1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87" fontId="5" fillId="0" borderId="3" xfId="0" applyNumberFormat="1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4" fontId="5" fillId="0" borderId="3" xfId="0" quotePrefix="1" applyNumberFormat="1" applyFont="1" applyBorder="1" applyAlignment="1">
      <alignment horizontal="center" vertical="center"/>
    </xf>
    <xf numFmtId="2" fontId="5" fillId="0" borderId="3" xfId="0" quotePrefix="1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187" fontId="5" fillId="0" borderId="3" xfId="0" quotePrefix="1" applyNumberFormat="1" applyFont="1" applyBorder="1" applyAlignment="1">
      <alignment horizontal="center" vertical="center"/>
    </xf>
    <xf numFmtId="188" fontId="5" fillId="0" borderId="3" xfId="0" quotePrefix="1" applyNumberFormat="1" applyFont="1" applyBorder="1" applyAlignment="1">
      <alignment horizontal="center" vertical="center"/>
    </xf>
    <xf numFmtId="188" fontId="0" fillId="0" borderId="1" xfId="0" applyNumberForma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yxcable.com/product/olflex-classic-115-cy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nyxcable.com/product/liycy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nyxcable.com/IEC06/H05V-K1x0.75" TargetMode="External"/><Relationship Id="rId2" Type="http://schemas.openxmlformats.org/officeDocument/2006/relationships/hyperlink" Target="https://nyxcable.com/IEC06/H05V-K1x1.5" TargetMode="External"/><Relationship Id="rId1" Type="http://schemas.openxmlformats.org/officeDocument/2006/relationships/hyperlink" Target="https://nyxcable.com/IEC06/H05V-K1x0.5" TargetMode="Externa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nyxcable.com/IEC06/H05V-K1x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BE24D-2D50-4D20-83C6-E49AA731CAB9}">
  <sheetPr>
    <tabColor rgb="FF00B0F0"/>
  </sheetPr>
  <dimension ref="C1:Q168"/>
  <sheetViews>
    <sheetView tabSelected="1" topLeftCell="G1" zoomScaleNormal="100" workbookViewId="0">
      <selection activeCell="J21" sqref="J21"/>
    </sheetView>
  </sheetViews>
  <sheetFormatPr defaultRowHeight="14.25" x14ac:dyDescent="0.2"/>
  <cols>
    <col min="1" max="2" width="0" hidden="1" customWidth="1"/>
    <col min="3" max="3" width="13.125" style="1" hidden="1" customWidth="1"/>
    <col min="4" max="4" width="20.375" hidden="1" customWidth="1"/>
    <col min="5" max="5" width="7" hidden="1" customWidth="1"/>
    <col min="6" max="6" width="14.375" style="1" hidden="1" customWidth="1"/>
    <col min="7" max="7" width="4.75" style="1" customWidth="1"/>
    <col min="8" max="8" width="14.375" style="1" customWidth="1"/>
    <col min="9" max="9" width="30.75" style="1" customWidth="1"/>
    <col min="10" max="10" width="19" style="1" customWidth="1"/>
    <col min="11" max="11" width="9.375" style="3" bestFit="1" customWidth="1"/>
    <col min="12" max="13" width="9.75" style="1" bestFit="1" customWidth="1"/>
    <col min="14" max="14" width="17.875" style="1" bestFit="1" customWidth="1"/>
    <col min="15" max="15" width="14.75" style="21" customWidth="1"/>
    <col min="16" max="16" width="17.875" style="1" customWidth="1"/>
    <col min="17" max="17" width="50.125" customWidth="1"/>
  </cols>
  <sheetData>
    <row r="1" spans="3:17" x14ac:dyDescent="0.2">
      <c r="K1" s="1"/>
    </row>
    <row r="2" spans="3:17" x14ac:dyDescent="0.2">
      <c r="I2" s="34" t="s">
        <v>487</v>
      </c>
      <c r="K2" s="1"/>
      <c r="O2" s="22" t="s">
        <v>806</v>
      </c>
    </row>
    <row r="3" spans="3:17" x14ac:dyDescent="0.2">
      <c r="K3" s="1"/>
    </row>
    <row r="4" spans="3:17" s="5" customFormat="1" ht="20.45" customHeight="1" x14ac:dyDescent="0.2">
      <c r="C4" s="4" t="s">
        <v>131</v>
      </c>
      <c r="F4" s="4"/>
      <c r="G4" s="4"/>
      <c r="H4" s="6" t="s">
        <v>164</v>
      </c>
      <c r="I4" s="38" t="s">
        <v>480</v>
      </c>
      <c r="J4" s="6" t="s">
        <v>486</v>
      </c>
      <c r="K4" s="7" t="s">
        <v>170</v>
      </c>
      <c r="L4" s="6" t="s">
        <v>481</v>
      </c>
      <c r="M4" s="6" t="s">
        <v>482</v>
      </c>
      <c r="N4" s="6" t="s">
        <v>172</v>
      </c>
      <c r="O4" s="6" t="s">
        <v>913</v>
      </c>
      <c r="P4" s="1"/>
    </row>
    <row r="5" spans="3:17" s="5" customFormat="1" ht="20.45" customHeight="1" x14ac:dyDescent="0.2">
      <c r="C5" s="4"/>
      <c r="F5" s="4"/>
      <c r="G5" s="4"/>
      <c r="H5" s="8" t="s">
        <v>484</v>
      </c>
      <c r="I5" s="39"/>
      <c r="J5" s="8" t="s">
        <v>169</v>
      </c>
      <c r="K5" s="9" t="s">
        <v>483</v>
      </c>
      <c r="L5" s="8" t="s">
        <v>171</v>
      </c>
      <c r="M5" s="8" t="s">
        <v>171</v>
      </c>
      <c r="N5" s="10" t="s">
        <v>485</v>
      </c>
      <c r="O5" s="24" t="s">
        <v>914</v>
      </c>
      <c r="P5" s="1"/>
      <c r="Q5" s="14" t="s">
        <v>807</v>
      </c>
    </row>
    <row r="6" spans="3:17" x14ac:dyDescent="0.2">
      <c r="C6" s="1" t="s">
        <v>85</v>
      </c>
      <c r="D6" t="s">
        <v>323</v>
      </c>
      <c r="E6" t="s">
        <v>325</v>
      </c>
      <c r="F6" s="2" t="s">
        <v>327</v>
      </c>
      <c r="G6" s="2"/>
      <c r="H6" s="12" t="s">
        <v>165</v>
      </c>
      <c r="I6" s="11" t="s">
        <v>653</v>
      </c>
      <c r="J6" s="12" t="s">
        <v>24</v>
      </c>
      <c r="K6" s="13">
        <v>4.9000000000000004</v>
      </c>
      <c r="L6" s="13">
        <v>9.6</v>
      </c>
      <c r="M6" s="12">
        <v>38</v>
      </c>
      <c r="N6" s="13">
        <v>39</v>
      </c>
      <c r="O6" s="19">
        <v>14.44</v>
      </c>
      <c r="Q6" t="s">
        <v>488</v>
      </c>
    </row>
    <row r="7" spans="3:17" x14ac:dyDescent="0.2">
      <c r="C7" s="1" t="s">
        <v>86</v>
      </c>
      <c r="D7" t="s">
        <v>324</v>
      </c>
      <c r="E7" t="s">
        <v>326</v>
      </c>
      <c r="F7" s="1" t="s">
        <v>333</v>
      </c>
      <c r="H7" s="12" t="s">
        <v>0</v>
      </c>
      <c r="I7" s="11" t="s">
        <v>654</v>
      </c>
      <c r="J7" s="12" t="s">
        <v>24</v>
      </c>
      <c r="K7" s="13">
        <v>5.2</v>
      </c>
      <c r="L7" s="13">
        <v>14.4</v>
      </c>
      <c r="M7" s="12">
        <v>47</v>
      </c>
      <c r="N7" s="13">
        <v>39</v>
      </c>
      <c r="O7" s="19">
        <v>19.54</v>
      </c>
      <c r="Q7" t="s">
        <v>489</v>
      </c>
    </row>
    <row r="8" spans="3:17" x14ac:dyDescent="0.2">
      <c r="C8" s="1" t="s">
        <v>87</v>
      </c>
      <c r="D8" t="s">
        <v>324</v>
      </c>
      <c r="E8" t="s">
        <v>326</v>
      </c>
      <c r="F8" s="1" t="s">
        <v>334</v>
      </c>
      <c r="H8" s="12" t="s">
        <v>1</v>
      </c>
      <c r="I8" s="11" t="s">
        <v>655</v>
      </c>
      <c r="J8" s="12" t="s">
        <v>24</v>
      </c>
      <c r="K8" s="13">
        <v>5.7</v>
      </c>
      <c r="L8" s="13">
        <v>19.2</v>
      </c>
      <c r="M8" s="12">
        <v>58</v>
      </c>
      <c r="N8" s="13">
        <v>39</v>
      </c>
      <c r="O8" s="19">
        <v>24.37</v>
      </c>
      <c r="Q8" t="s">
        <v>490</v>
      </c>
    </row>
    <row r="9" spans="3:17" x14ac:dyDescent="0.2">
      <c r="C9" s="1" t="s">
        <v>88</v>
      </c>
      <c r="D9" t="s">
        <v>324</v>
      </c>
      <c r="E9" t="s">
        <v>326</v>
      </c>
      <c r="F9" s="1" t="s">
        <v>335</v>
      </c>
      <c r="H9" s="12" t="s">
        <v>3</v>
      </c>
      <c r="I9" s="11" t="s">
        <v>656</v>
      </c>
      <c r="J9" s="12" t="s">
        <v>24</v>
      </c>
      <c r="K9" s="13">
        <v>6</v>
      </c>
      <c r="L9" s="13">
        <v>24</v>
      </c>
      <c r="M9" s="12">
        <v>75</v>
      </c>
      <c r="N9" s="13">
        <v>39</v>
      </c>
      <c r="O9" s="19">
        <v>30.34</v>
      </c>
      <c r="Q9" t="s">
        <v>491</v>
      </c>
    </row>
    <row r="10" spans="3:17" x14ac:dyDescent="0.2">
      <c r="C10" s="1" t="s">
        <v>89</v>
      </c>
      <c r="D10" t="s">
        <v>324</v>
      </c>
      <c r="E10" t="s">
        <v>326</v>
      </c>
      <c r="F10" s="1" t="s">
        <v>336</v>
      </c>
      <c r="H10" s="12" t="s">
        <v>2</v>
      </c>
      <c r="I10" s="11" t="s">
        <v>657</v>
      </c>
      <c r="J10" s="12" t="s">
        <v>24</v>
      </c>
      <c r="K10" s="13">
        <v>6.5</v>
      </c>
      <c r="L10" s="13">
        <v>28.8</v>
      </c>
      <c r="M10" s="12">
        <v>89</v>
      </c>
      <c r="N10" s="13">
        <v>39</v>
      </c>
      <c r="O10" s="19">
        <v>40</v>
      </c>
      <c r="Q10" t="s">
        <v>492</v>
      </c>
    </row>
    <row r="11" spans="3:17" x14ac:dyDescent="0.2">
      <c r="C11" s="1" t="s">
        <v>90</v>
      </c>
      <c r="D11" t="s">
        <v>324</v>
      </c>
      <c r="E11" t="s">
        <v>326</v>
      </c>
      <c r="F11" s="1" t="s">
        <v>337</v>
      </c>
      <c r="H11" s="12" t="s">
        <v>4</v>
      </c>
      <c r="I11" s="11" t="s">
        <v>658</v>
      </c>
      <c r="J11" s="12" t="s">
        <v>24</v>
      </c>
      <c r="K11" s="13">
        <v>7.1</v>
      </c>
      <c r="L11" s="13">
        <v>33.6</v>
      </c>
      <c r="M11" s="12">
        <v>93</v>
      </c>
      <c r="N11" s="13">
        <v>39</v>
      </c>
      <c r="O11" s="19">
        <v>44.58</v>
      </c>
      <c r="Q11" t="s">
        <v>493</v>
      </c>
    </row>
    <row r="12" spans="3:17" x14ac:dyDescent="0.2">
      <c r="C12" s="1" t="s">
        <v>91</v>
      </c>
      <c r="D12" t="s">
        <v>324</v>
      </c>
      <c r="E12" t="s">
        <v>326</v>
      </c>
      <c r="F12" s="1" t="s">
        <v>338</v>
      </c>
      <c r="H12" s="12" t="s">
        <v>5</v>
      </c>
      <c r="I12" s="11" t="s">
        <v>659</v>
      </c>
      <c r="J12" s="12" t="s">
        <v>24</v>
      </c>
      <c r="K12" s="13">
        <v>7.7</v>
      </c>
      <c r="L12" s="13">
        <v>38.4</v>
      </c>
      <c r="M12" s="12">
        <v>110</v>
      </c>
      <c r="N12" s="13">
        <v>39</v>
      </c>
      <c r="O12" s="19">
        <v>51.4</v>
      </c>
      <c r="Q12" t="s">
        <v>494</v>
      </c>
    </row>
    <row r="13" spans="3:17" x14ac:dyDescent="0.2">
      <c r="C13" s="1" t="s">
        <v>92</v>
      </c>
      <c r="D13" t="s">
        <v>324</v>
      </c>
      <c r="E13" t="s">
        <v>326</v>
      </c>
      <c r="F13" s="1" t="s">
        <v>339</v>
      </c>
      <c r="H13" s="12" t="s">
        <v>6</v>
      </c>
      <c r="I13" s="11" t="s">
        <v>660</v>
      </c>
      <c r="J13" s="12" t="s">
        <v>24</v>
      </c>
      <c r="K13" s="13">
        <v>8.6</v>
      </c>
      <c r="L13" s="13">
        <v>48</v>
      </c>
      <c r="M13" s="12">
        <v>140</v>
      </c>
      <c r="N13" s="13">
        <v>39</v>
      </c>
      <c r="O13" s="19">
        <v>64.42</v>
      </c>
      <c r="Q13" t="s">
        <v>495</v>
      </c>
    </row>
    <row r="14" spans="3:17" x14ac:dyDescent="0.2">
      <c r="C14" s="1" t="s">
        <v>93</v>
      </c>
      <c r="D14" t="s">
        <v>324</v>
      </c>
      <c r="E14" t="s">
        <v>326</v>
      </c>
      <c r="F14" s="1" t="s">
        <v>340</v>
      </c>
      <c r="H14" s="12" t="s">
        <v>7</v>
      </c>
      <c r="I14" s="11" t="s">
        <v>661</v>
      </c>
      <c r="J14" s="12" t="s">
        <v>24</v>
      </c>
      <c r="K14" s="13">
        <v>9.1</v>
      </c>
      <c r="L14" s="13">
        <v>58</v>
      </c>
      <c r="M14" s="12">
        <v>150</v>
      </c>
      <c r="N14" s="13">
        <v>39</v>
      </c>
      <c r="O14" s="19">
        <v>75.540000000000006</v>
      </c>
      <c r="Q14" t="s">
        <v>496</v>
      </c>
    </row>
    <row r="15" spans="3:17" x14ac:dyDescent="0.2">
      <c r="C15" s="1" t="s">
        <v>132</v>
      </c>
      <c r="D15" t="s">
        <v>324</v>
      </c>
      <c r="E15" t="s">
        <v>326</v>
      </c>
      <c r="F15" s="1" t="s">
        <v>341</v>
      </c>
      <c r="H15" s="12" t="s">
        <v>8</v>
      </c>
      <c r="I15" s="11" t="s">
        <v>662</v>
      </c>
      <c r="J15" s="12" t="s">
        <v>24</v>
      </c>
      <c r="K15" s="13">
        <v>9.3000000000000007</v>
      </c>
      <c r="L15" s="13">
        <v>67</v>
      </c>
      <c r="M15" s="12">
        <v>170</v>
      </c>
      <c r="N15" s="13">
        <v>39</v>
      </c>
      <c r="O15" s="19">
        <v>90.65</v>
      </c>
      <c r="Q15" t="s">
        <v>497</v>
      </c>
    </row>
    <row r="16" spans="3:17" x14ac:dyDescent="0.2">
      <c r="C16" s="1" t="s">
        <v>133</v>
      </c>
      <c r="D16" t="s">
        <v>324</v>
      </c>
      <c r="E16" t="s">
        <v>326</v>
      </c>
      <c r="F16" s="1" t="s">
        <v>342</v>
      </c>
      <c r="H16" s="12" t="s">
        <v>9</v>
      </c>
      <c r="I16" s="11" t="s">
        <v>663</v>
      </c>
      <c r="J16" s="12" t="s">
        <v>24</v>
      </c>
      <c r="K16" s="13">
        <v>10.4</v>
      </c>
      <c r="L16" s="13">
        <v>77</v>
      </c>
      <c r="M16" s="12">
        <v>195</v>
      </c>
      <c r="N16" s="13">
        <v>39</v>
      </c>
      <c r="O16" s="19">
        <v>101.46</v>
      </c>
      <c r="Q16" t="s">
        <v>498</v>
      </c>
    </row>
    <row r="17" spans="3:17" x14ac:dyDescent="0.2">
      <c r="C17" s="1" t="s">
        <v>134</v>
      </c>
      <c r="D17" t="s">
        <v>324</v>
      </c>
      <c r="E17" t="s">
        <v>326</v>
      </c>
      <c r="F17" s="1" t="s">
        <v>343</v>
      </c>
      <c r="H17" s="12" t="s">
        <v>10</v>
      </c>
      <c r="I17" s="11" t="s">
        <v>664</v>
      </c>
      <c r="J17" s="12" t="s">
        <v>24</v>
      </c>
      <c r="K17" s="13">
        <v>10.8</v>
      </c>
      <c r="L17" s="13">
        <v>86</v>
      </c>
      <c r="M17" s="12">
        <v>215</v>
      </c>
      <c r="N17" s="13">
        <v>39</v>
      </c>
      <c r="O17" s="19">
        <v>113.29</v>
      </c>
      <c r="Q17" t="s">
        <v>499</v>
      </c>
    </row>
    <row r="18" spans="3:17" x14ac:dyDescent="0.2">
      <c r="C18" s="1" t="s">
        <v>135</v>
      </c>
      <c r="D18" t="s">
        <v>324</v>
      </c>
      <c r="E18" t="s">
        <v>326</v>
      </c>
      <c r="F18" s="1" t="s">
        <v>344</v>
      </c>
      <c r="H18" s="12" t="s">
        <v>11</v>
      </c>
      <c r="I18" s="11" t="s">
        <v>665</v>
      </c>
      <c r="J18" s="12" t="s">
        <v>24</v>
      </c>
      <c r="K18" s="13">
        <v>11.8</v>
      </c>
      <c r="L18" s="13">
        <v>96</v>
      </c>
      <c r="M18" s="12">
        <v>230</v>
      </c>
      <c r="N18" s="13">
        <v>39</v>
      </c>
      <c r="O18" s="19">
        <v>123.86</v>
      </c>
      <c r="Q18" t="s">
        <v>500</v>
      </c>
    </row>
    <row r="19" spans="3:17" x14ac:dyDescent="0.2">
      <c r="C19" s="1" t="s">
        <v>136</v>
      </c>
      <c r="D19" t="s">
        <v>324</v>
      </c>
      <c r="E19" t="s">
        <v>326</v>
      </c>
      <c r="F19" s="1" t="s">
        <v>345</v>
      </c>
      <c r="H19" s="12" t="s">
        <v>12</v>
      </c>
      <c r="I19" s="11" t="s">
        <v>666</v>
      </c>
      <c r="J19" s="12" t="s">
        <v>24</v>
      </c>
      <c r="K19" s="13">
        <v>12</v>
      </c>
      <c r="L19" s="12">
        <v>101</v>
      </c>
      <c r="M19" s="12">
        <v>245</v>
      </c>
      <c r="N19" s="13">
        <v>39</v>
      </c>
      <c r="O19" s="19">
        <v>135.44</v>
      </c>
      <c r="Q19" t="s">
        <v>501</v>
      </c>
    </row>
    <row r="20" spans="3:17" x14ac:dyDescent="0.2">
      <c r="C20" s="1" t="s">
        <v>137</v>
      </c>
      <c r="D20" t="s">
        <v>324</v>
      </c>
      <c r="E20" t="s">
        <v>326</v>
      </c>
      <c r="F20" s="1" t="s">
        <v>346</v>
      </c>
      <c r="H20" s="12" t="s">
        <v>13</v>
      </c>
      <c r="I20" s="11" t="s">
        <v>667</v>
      </c>
      <c r="J20" s="12" t="s">
        <v>24</v>
      </c>
      <c r="K20" s="13">
        <v>12.8</v>
      </c>
      <c r="L20" s="12">
        <v>120</v>
      </c>
      <c r="M20" s="12">
        <v>280</v>
      </c>
      <c r="N20" s="13">
        <v>39</v>
      </c>
      <c r="O20" s="19">
        <v>152.66</v>
      </c>
      <c r="Q20" t="s">
        <v>502</v>
      </c>
    </row>
    <row r="21" spans="3:17" x14ac:dyDescent="0.2">
      <c r="C21" s="1" t="s">
        <v>138</v>
      </c>
      <c r="D21" t="s">
        <v>324</v>
      </c>
      <c r="E21" t="s">
        <v>326</v>
      </c>
      <c r="F21" s="1" t="s">
        <v>347</v>
      </c>
      <c r="H21" s="12" t="s">
        <v>14</v>
      </c>
      <c r="I21" s="11" t="s">
        <v>668</v>
      </c>
      <c r="J21" s="12" t="s">
        <v>24</v>
      </c>
      <c r="K21" s="13">
        <v>13.7</v>
      </c>
      <c r="L21" s="12">
        <v>144</v>
      </c>
      <c r="M21" s="12">
        <v>310</v>
      </c>
      <c r="N21" s="13">
        <v>39</v>
      </c>
      <c r="O21" s="19">
        <v>184.45</v>
      </c>
      <c r="Q21" t="s">
        <v>503</v>
      </c>
    </row>
    <row r="22" spans="3:17" x14ac:dyDescent="0.2">
      <c r="C22" s="1" t="s">
        <v>139</v>
      </c>
      <c r="D22" t="s">
        <v>324</v>
      </c>
      <c r="E22" t="s">
        <v>326</v>
      </c>
      <c r="F22" s="1" t="s">
        <v>348</v>
      </c>
      <c r="H22" s="12" t="s">
        <v>166</v>
      </c>
      <c r="I22" s="11" t="s">
        <v>669</v>
      </c>
      <c r="J22" s="12" t="s">
        <v>24</v>
      </c>
      <c r="K22" s="13">
        <v>14</v>
      </c>
      <c r="L22" s="12">
        <v>154</v>
      </c>
      <c r="M22" s="12">
        <v>345</v>
      </c>
      <c r="N22" s="13">
        <v>39</v>
      </c>
      <c r="O22" s="19">
        <v>199</v>
      </c>
      <c r="Q22" t="s">
        <v>504</v>
      </c>
    </row>
    <row r="23" spans="3:17" x14ac:dyDescent="0.2">
      <c r="C23" s="1" t="s">
        <v>140</v>
      </c>
      <c r="D23" t="s">
        <v>324</v>
      </c>
      <c r="E23" t="s">
        <v>326</v>
      </c>
      <c r="F23" s="1" t="s">
        <v>349</v>
      </c>
      <c r="H23" s="12" t="s">
        <v>15</v>
      </c>
      <c r="I23" s="11" t="s">
        <v>670</v>
      </c>
      <c r="J23" s="12" t="s">
        <v>24</v>
      </c>
      <c r="K23" s="13">
        <v>14.9</v>
      </c>
      <c r="L23" s="12">
        <v>168</v>
      </c>
      <c r="M23" s="12">
        <v>390</v>
      </c>
      <c r="N23" s="13">
        <v>39</v>
      </c>
      <c r="O23" s="19">
        <f>35/34*228.36</f>
        <v>235.07647058823528</v>
      </c>
      <c r="Q23" t="s">
        <v>505</v>
      </c>
    </row>
    <row r="24" spans="3:17" x14ac:dyDescent="0.2">
      <c r="C24" s="1" t="s">
        <v>141</v>
      </c>
      <c r="D24" t="s">
        <v>324</v>
      </c>
      <c r="E24" t="s">
        <v>326</v>
      </c>
      <c r="F24" s="1" t="s">
        <v>350</v>
      </c>
      <c r="H24" s="12" t="s">
        <v>16</v>
      </c>
      <c r="I24" s="11" t="s">
        <v>671</v>
      </c>
      <c r="J24" s="12" t="s">
        <v>24</v>
      </c>
      <c r="K24" s="13">
        <v>15.6</v>
      </c>
      <c r="L24" s="12">
        <v>192</v>
      </c>
      <c r="M24" s="12">
        <v>450</v>
      </c>
      <c r="N24" s="13">
        <v>39</v>
      </c>
      <c r="O24" s="19">
        <f>O25/42*40</f>
        <v>316.97142857142859</v>
      </c>
      <c r="Q24" t="s">
        <v>506</v>
      </c>
    </row>
    <row r="25" spans="3:17" x14ac:dyDescent="0.2">
      <c r="C25" s="1" t="s">
        <v>142</v>
      </c>
      <c r="D25" t="s">
        <v>324</v>
      </c>
      <c r="E25" t="s">
        <v>326</v>
      </c>
      <c r="F25" s="1" t="s">
        <v>351</v>
      </c>
      <c r="H25" s="12" t="s">
        <v>17</v>
      </c>
      <c r="I25" s="11" t="s">
        <v>672</v>
      </c>
      <c r="J25" s="12" t="s">
        <v>24</v>
      </c>
      <c r="K25" s="13">
        <v>16.2</v>
      </c>
      <c r="L25" s="12">
        <v>202</v>
      </c>
      <c r="M25" s="12">
        <v>470</v>
      </c>
      <c r="N25" s="13">
        <v>39</v>
      </c>
      <c r="O25" s="19">
        <v>332.82</v>
      </c>
      <c r="Q25" t="s">
        <v>507</v>
      </c>
    </row>
    <row r="26" spans="3:17" x14ac:dyDescent="0.2">
      <c r="C26" s="1" t="s">
        <v>143</v>
      </c>
      <c r="D26" t="s">
        <v>324</v>
      </c>
      <c r="E26" t="s">
        <v>326</v>
      </c>
      <c r="F26" s="1" t="s">
        <v>352</v>
      </c>
      <c r="H26" s="12" t="s">
        <v>18</v>
      </c>
      <c r="I26" s="11" t="s">
        <v>673</v>
      </c>
      <c r="J26" s="12" t="s">
        <v>24</v>
      </c>
      <c r="K26" s="13">
        <v>17.600000000000001</v>
      </c>
      <c r="L26" s="12">
        <v>240</v>
      </c>
      <c r="M26" s="12">
        <v>510</v>
      </c>
      <c r="N26" s="13">
        <v>39</v>
      </c>
      <c r="O26" s="19">
        <v>409.97</v>
      </c>
      <c r="Q26" t="s">
        <v>508</v>
      </c>
    </row>
    <row r="27" spans="3:17" x14ac:dyDescent="0.2">
      <c r="C27" s="1" t="s">
        <v>144</v>
      </c>
      <c r="D27" t="s">
        <v>324</v>
      </c>
      <c r="E27" t="s">
        <v>326</v>
      </c>
      <c r="F27" s="1" t="s">
        <v>353</v>
      </c>
      <c r="H27" s="12" t="s">
        <v>19</v>
      </c>
      <c r="I27" s="11" t="s">
        <v>674</v>
      </c>
      <c r="J27" s="12" t="s">
        <v>24</v>
      </c>
      <c r="K27" s="13">
        <v>17.7</v>
      </c>
      <c r="L27" s="12">
        <v>252</v>
      </c>
      <c r="M27" s="12">
        <v>530</v>
      </c>
      <c r="N27" s="13">
        <v>39</v>
      </c>
      <c r="O27" s="19">
        <f>O26/50*52</f>
        <v>426.36880000000002</v>
      </c>
      <c r="Q27" t="s">
        <v>509</v>
      </c>
    </row>
    <row r="28" spans="3:17" x14ac:dyDescent="0.2">
      <c r="C28" s="1" t="s">
        <v>145</v>
      </c>
      <c r="D28" t="s">
        <v>324</v>
      </c>
      <c r="E28" t="s">
        <v>326</v>
      </c>
      <c r="F28" s="1" t="s">
        <v>354</v>
      </c>
      <c r="H28" s="12" t="s">
        <v>20</v>
      </c>
      <c r="I28" s="11" t="s">
        <v>675</v>
      </c>
      <c r="J28" s="12" t="s">
        <v>24</v>
      </c>
      <c r="K28" s="13">
        <v>18.899999999999999</v>
      </c>
      <c r="L28" s="12">
        <v>293</v>
      </c>
      <c r="M28" s="12">
        <v>650</v>
      </c>
      <c r="N28" s="13">
        <v>39</v>
      </c>
      <c r="O28" s="19">
        <v>468.07</v>
      </c>
      <c r="Q28" t="s">
        <v>510</v>
      </c>
    </row>
    <row r="29" spans="3:17" x14ac:dyDescent="0.2">
      <c r="C29" s="1" t="s">
        <v>146</v>
      </c>
      <c r="D29" t="s">
        <v>324</v>
      </c>
      <c r="E29" t="s">
        <v>326</v>
      </c>
      <c r="F29" s="1" t="s">
        <v>355</v>
      </c>
      <c r="H29" s="12" t="s">
        <v>21</v>
      </c>
      <c r="I29" s="11" t="s">
        <v>676</v>
      </c>
      <c r="J29" s="12" t="s">
        <v>24</v>
      </c>
      <c r="K29" s="13">
        <v>19.8</v>
      </c>
      <c r="L29" s="12">
        <v>312</v>
      </c>
      <c r="M29" s="12">
        <v>685</v>
      </c>
      <c r="N29" s="13">
        <v>39</v>
      </c>
      <c r="O29" s="19" t="s">
        <v>904</v>
      </c>
      <c r="Q29" t="s">
        <v>511</v>
      </c>
    </row>
    <row r="30" spans="3:17" x14ac:dyDescent="0.2">
      <c r="C30" s="1" t="s">
        <v>147</v>
      </c>
      <c r="D30" t="s">
        <v>324</v>
      </c>
      <c r="E30" t="s">
        <v>326</v>
      </c>
      <c r="F30" s="1" t="s">
        <v>356</v>
      </c>
      <c r="H30" s="12" t="s">
        <v>22</v>
      </c>
      <c r="I30" s="11" t="s">
        <v>677</v>
      </c>
      <c r="J30" s="12" t="s">
        <v>24</v>
      </c>
      <c r="K30" s="13">
        <v>21.5</v>
      </c>
      <c r="L30" s="12">
        <v>384</v>
      </c>
      <c r="M30" s="12">
        <v>780</v>
      </c>
      <c r="N30" s="13">
        <v>39</v>
      </c>
      <c r="O30" s="19" t="s">
        <v>904</v>
      </c>
      <c r="Q30" t="s">
        <v>512</v>
      </c>
    </row>
    <row r="31" spans="3:17" x14ac:dyDescent="0.2">
      <c r="C31" s="1" t="s">
        <v>148</v>
      </c>
      <c r="D31" t="s">
        <v>324</v>
      </c>
      <c r="E31" t="s">
        <v>326</v>
      </c>
      <c r="F31" s="1" t="s">
        <v>357</v>
      </c>
      <c r="H31" s="12" t="s">
        <v>23</v>
      </c>
      <c r="I31" s="11" t="s">
        <v>678</v>
      </c>
      <c r="J31" s="12" t="s">
        <v>24</v>
      </c>
      <c r="K31" s="13">
        <v>23.9</v>
      </c>
      <c r="L31" s="12">
        <v>480</v>
      </c>
      <c r="M31" s="12">
        <v>970</v>
      </c>
      <c r="N31" s="13">
        <v>39</v>
      </c>
      <c r="O31" s="19" t="s">
        <v>904</v>
      </c>
      <c r="Q31" t="s">
        <v>513</v>
      </c>
    </row>
    <row r="32" spans="3:17" ht="3.6" customHeight="1" x14ac:dyDescent="0.2">
      <c r="H32" s="15"/>
      <c r="I32" s="16"/>
      <c r="J32" s="15"/>
      <c r="K32" s="17"/>
      <c r="L32" s="15"/>
      <c r="M32" s="15"/>
      <c r="N32" s="17"/>
      <c r="O32" s="20"/>
    </row>
    <row r="33" spans="3:17" x14ac:dyDescent="0.2">
      <c r="C33" s="1" t="s">
        <v>94</v>
      </c>
      <c r="D33" t="s">
        <v>323</v>
      </c>
      <c r="E33" t="s">
        <v>325</v>
      </c>
      <c r="F33" s="1" t="s">
        <v>328</v>
      </c>
      <c r="H33" s="12" t="s">
        <v>167</v>
      </c>
      <c r="I33" s="11" t="s">
        <v>679</v>
      </c>
      <c r="J33" s="12" t="s">
        <v>52</v>
      </c>
      <c r="K33" s="13">
        <v>5.5</v>
      </c>
      <c r="L33" s="13">
        <v>14.4</v>
      </c>
      <c r="M33" s="12">
        <v>43</v>
      </c>
      <c r="N33" s="13">
        <v>26</v>
      </c>
      <c r="O33" s="19">
        <v>19.170000000000002</v>
      </c>
      <c r="Q33" t="s">
        <v>514</v>
      </c>
    </row>
    <row r="34" spans="3:17" x14ac:dyDescent="0.2">
      <c r="C34" s="1" t="s">
        <v>95</v>
      </c>
      <c r="D34" t="s">
        <v>324</v>
      </c>
      <c r="E34" t="s">
        <v>326</v>
      </c>
      <c r="F34" s="1" t="s">
        <v>358</v>
      </c>
      <c r="H34" s="12" t="s">
        <v>25</v>
      </c>
      <c r="I34" s="11" t="s">
        <v>680</v>
      </c>
      <c r="J34" s="12" t="s">
        <v>52</v>
      </c>
      <c r="K34" s="13">
        <v>5.7</v>
      </c>
      <c r="L34" s="13">
        <v>22</v>
      </c>
      <c r="M34" s="12">
        <v>61</v>
      </c>
      <c r="N34" s="13">
        <v>26</v>
      </c>
      <c r="O34" s="19">
        <v>26.02</v>
      </c>
      <c r="Q34" t="s">
        <v>515</v>
      </c>
    </row>
    <row r="35" spans="3:17" x14ac:dyDescent="0.2">
      <c r="C35" s="1" t="s">
        <v>96</v>
      </c>
      <c r="D35" t="s">
        <v>324</v>
      </c>
      <c r="E35" t="s">
        <v>326</v>
      </c>
      <c r="F35" s="1" t="s">
        <v>359</v>
      </c>
      <c r="H35" s="12" t="s">
        <v>26</v>
      </c>
      <c r="I35" s="11" t="s">
        <v>681</v>
      </c>
      <c r="J35" s="12" t="s">
        <v>52</v>
      </c>
      <c r="K35" s="13">
        <v>6.2</v>
      </c>
      <c r="L35" s="13">
        <v>28.8</v>
      </c>
      <c r="M35" s="12">
        <v>75</v>
      </c>
      <c r="N35" s="13">
        <v>26</v>
      </c>
      <c r="O35" s="19">
        <v>34.270000000000003</v>
      </c>
      <c r="Q35" t="s">
        <v>516</v>
      </c>
    </row>
    <row r="36" spans="3:17" x14ac:dyDescent="0.2">
      <c r="C36" s="1" t="s">
        <v>97</v>
      </c>
      <c r="D36" t="s">
        <v>324</v>
      </c>
      <c r="E36" t="s">
        <v>326</v>
      </c>
      <c r="F36" s="1" t="s">
        <v>360</v>
      </c>
      <c r="H36" s="12" t="s">
        <v>27</v>
      </c>
      <c r="I36" s="11" t="s">
        <v>682</v>
      </c>
      <c r="J36" s="12" t="s">
        <v>52</v>
      </c>
      <c r="K36" s="13">
        <v>6.9</v>
      </c>
      <c r="L36" s="13">
        <v>36</v>
      </c>
      <c r="M36" s="12">
        <v>100</v>
      </c>
      <c r="N36" s="13">
        <v>26</v>
      </c>
      <c r="O36" s="19">
        <v>42.5</v>
      </c>
      <c r="Q36" t="s">
        <v>517</v>
      </c>
    </row>
    <row r="37" spans="3:17" x14ac:dyDescent="0.2">
      <c r="C37" s="1" t="s">
        <v>98</v>
      </c>
      <c r="D37" t="s">
        <v>324</v>
      </c>
      <c r="E37" t="s">
        <v>326</v>
      </c>
      <c r="F37" s="1" t="s">
        <v>361</v>
      </c>
      <c r="H37" s="12" t="s">
        <v>28</v>
      </c>
      <c r="I37" s="11" t="s">
        <v>683</v>
      </c>
      <c r="J37" s="12" t="s">
        <v>52</v>
      </c>
      <c r="K37" s="13">
        <v>7.6</v>
      </c>
      <c r="L37" s="13">
        <v>43.2</v>
      </c>
      <c r="M37" s="12">
        <v>115</v>
      </c>
      <c r="N37" s="13">
        <v>26</v>
      </c>
      <c r="O37" s="19">
        <v>54.1</v>
      </c>
      <c r="Q37" t="s">
        <v>518</v>
      </c>
    </row>
    <row r="38" spans="3:17" x14ac:dyDescent="0.2">
      <c r="C38" s="1" t="s">
        <v>99</v>
      </c>
      <c r="D38" t="s">
        <v>324</v>
      </c>
      <c r="E38" t="s">
        <v>326</v>
      </c>
      <c r="F38" s="1" t="s">
        <v>362</v>
      </c>
      <c r="H38" s="12" t="s">
        <v>29</v>
      </c>
      <c r="I38" s="11" t="s">
        <v>684</v>
      </c>
      <c r="J38" s="12" t="s">
        <v>52</v>
      </c>
      <c r="K38" s="13">
        <v>7.6</v>
      </c>
      <c r="L38" s="13">
        <v>50</v>
      </c>
      <c r="M38" s="12">
        <v>125</v>
      </c>
      <c r="N38" s="13">
        <v>26</v>
      </c>
      <c r="O38" s="19">
        <v>60.19</v>
      </c>
      <c r="Q38" t="s">
        <v>519</v>
      </c>
    </row>
    <row r="39" spans="3:17" x14ac:dyDescent="0.2">
      <c r="C39" s="1" t="s">
        <v>100</v>
      </c>
      <c r="D39" t="s">
        <v>324</v>
      </c>
      <c r="E39" t="s">
        <v>326</v>
      </c>
      <c r="F39" s="1" t="s">
        <v>363</v>
      </c>
      <c r="H39" s="12" t="s">
        <v>30</v>
      </c>
      <c r="I39" s="11" t="s">
        <v>685</v>
      </c>
      <c r="J39" s="12" t="s">
        <v>52</v>
      </c>
      <c r="K39" s="13">
        <v>8.9</v>
      </c>
      <c r="L39" s="13">
        <v>58</v>
      </c>
      <c r="M39" s="12">
        <v>140</v>
      </c>
      <c r="N39" s="13">
        <v>26</v>
      </c>
      <c r="O39" s="19">
        <v>70.430000000000007</v>
      </c>
      <c r="Q39" t="s">
        <v>520</v>
      </c>
    </row>
    <row r="40" spans="3:17" x14ac:dyDescent="0.2">
      <c r="C40" s="1" t="s">
        <v>101</v>
      </c>
      <c r="D40" t="s">
        <v>324</v>
      </c>
      <c r="E40" t="s">
        <v>326</v>
      </c>
      <c r="F40" s="1" t="s">
        <v>364</v>
      </c>
      <c r="H40" s="12" t="s">
        <v>31</v>
      </c>
      <c r="I40" s="11" t="s">
        <v>686</v>
      </c>
      <c r="J40" s="12" t="s">
        <v>52</v>
      </c>
      <c r="K40" s="13">
        <v>9.6</v>
      </c>
      <c r="L40" s="13">
        <v>65</v>
      </c>
      <c r="M40" s="12">
        <v>150</v>
      </c>
      <c r="N40" s="13">
        <v>26</v>
      </c>
      <c r="O40" s="19">
        <v>80</v>
      </c>
      <c r="Q40" t="s">
        <v>521</v>
      </c>
    </row>
    <row r="41" spans="3:17" x14ac:dyDescent="0.2">
      <c r="C41" s="1" t="s">
        <v>102</v>
      </c>
      <c r="D41" t="s">
        <v>324</v>
      </c>
      <c r="E41" t="s">
        <v>326</v>
      </c>
      <c r="F41" s="1" t="s">
        <v>365</v>
      </c>
      <c r="H41" s="12" t="s">
        <v>32</v>
      </c>
      <c r="I41" s="11" t="s">
        <v>687</v>
      </c>
      <c r="J41" s="12" t="s">
        <v>52</v>
      </c>
      <c r="K41" s="13">
        <v>9.9</v>
      </c>
      <c r="L41" s="13">
        <v>72</v>
      </c>
      <c r="M41" s="12">
        <v>170</v>
      </c>
      <c r="N41" s="13">
        <v>26</v>
      </c>
      <c r="O41" s="19">
        <v>89.5</v>
      </c>
      <c r="Q41" t="s">
        <v>522</v>
      </c>
    </row>
    <row r="42" spans="3:17" x14ac:dyDescent="0.2">
      <c r="C42" s="1" t="s">
        <v>103</v>
      </c>
      <c r="D42" t="s">
        <v>324</v>
      </c>
      <c r="E42" t="s">
        <v>326</v>
      </c>
      <c r="F42" s="1" t="s">
        <v>366</v>
      </c>
      <c r="H42" s="12" t="s">
        <v>33</v>
      </c>
      <c r="I42" s="11" t="s">
        <v>688</v>
      </c>
      <c r="J42" s="12" t="s">
        <v>52</v>
      </c>
      <c r="K42" s="13">
        <v>10.199999999999999</v>
      </c>
      <c r="L42" s="13">
        <v>86</v>
      </c>
      <c r="M42" s="12">
        <v>210</v>
      </c>
      <c r="N42" s="13">
        <v>26</v>
      </c>
      <c r="O42" s="19">
        <v>103.36</v>
      </c>
      <c r="Q42" t="s">
        <v>523</v>
      </c>
    </row>
    <row r="43" spans="3:17" x14ac:dyDescent="0.2">
      <c r="C43" s="1" t="s">
        <v>149</v>
      </c>
      <c r="D43" t="s">
        <v>324</v>
      </c>
      <c r="E43" t="s">
        <v>326</v>
      </c>
      <c r="F43" s="1" t="s">
        <v>367</v>
      </c>
      <c r="H43" s="12" t="s">
        <v>34</v>
      </c>
      <c r="I43" s="11" t="s">
        <v>689</v>
      </c>
      <c r="J43" s="12" t="s">
        <v>52</v>
      </c>
      <c r="K43" s="13">
        <v>10.9</v>
      </c>
      <c r="L43" s="12">
        <v>101</v>
      </c>
      <c r="M43" s="12">
        <v>225</v>
      </c>
      <c r="N43" s="13">
        <v>26</v>
      </c>
      <c r="O43" s="19">
        <v>119.77</v>
      </c>
      <c r="Q43" t="s">
        <v>524</v>
      </c>
    </row>
    <row r="44" spans="3:17" x14ac:dyDescent="0.2">
      <c r="C44" s="1" t="s">
        <v>150</v>
      </c>
      <c r="D44" t="s">
        <v>324</v>
      </c>
      <c r="E44" t="s">
        <v>326</v>
      </c>
      <c r="F44" s="1" t="s">
        <v>368</v>
      </c>
      <c r="H44" s="12" t="s">
        <v>168</v>
      </c>
      <c r="I44" s="11" t="s">
        <v>690</v>
      </c>
      <c r="J44" s="12" t="s">
        <v>52</v>
      </c>
      <c r="K44" s="13">
        <v>11.2</v>
      </c>
      <c r="L44" s="12">
        <v>115</v>
      </c>
      <c r="M44" s="12">
        <v>240</v>
      </c>
      <c r="N44" s="13">
        <v>26</v>
      </c>
      <c r="O44" s="19">
        <v>138.82</v>
      </c>
      <c r="Q44" t="s">
        <v>525</v>
      </c>
    </row>
    <row r="45" spans="3:17" x14ac:dyDescent="0.2">
      <c r="C45" s="1" t="s">
        <v>151</v>
      </c>
      <c r="D45" t="s">
        <v>324</v>
      </c>
      <c r="E45" t="s">
        <v>326</v>
      </c>
      <c r="F45" s="1" t="s">
        <v>369</v>
      </c>
      <c r="H45" s="12" t="s">
        <v>35</v>
      </c>
      <c r="I45" s="11" t="s">
        <v>691</v>
      </c>
      <c r="J45" s="12" t="s">
        <v>52</v>
      </c>
      <c r="K45" s="13">
        <v>12.1</v>
      </c>
      <c r="L45" s="12">
        <v>130</v>
      </c>
      <c r="M45" s="12">
        <v>280</v>
      </c>
      <c r="N45" s="13">
        <v>26</v>
      </c>
      <c r="O45" s="19">
        <v>154.11000000000001</v>
      </c>
      <c r="Q45" t="s">
        <v>526</v>
      </c>
    </row>
    <row r="46" spans="3:17" x14ac:dyDescent="0.2">
      <c r="C46" s="1" t="s">
        <v>152</v>
      </c>
      <c r="D46" t="s">
        <v>324</v>
      </c>
      <c r="E46" t="s">
        <v>326</v>
      </c>
      <c r="F46" s="1" t="s">
        <v>370</v>
      </c>
      <c r="H46" s="12" t="s">
        <v>36</v>
      </c>
      <c r="I46" s="11" t="s">
        <v>692</v>
      </c>
      <c r="J46" s="12" t="s">
        <v>52</v>
      </c>
      <c r="K46" s="13">
        <v>13</v>
      </c>
      <c r="L46" s="12">
        <v>144</v>
      </c>
      <c r="M46" s="12">
        <v>310</v>
      </c>
      <c r="N46" s="13">
        <v>26</v>
      </c>
      <c r="O46" s="19">
        <f>O47*20/21</f>
        <v>179.53333333333333</v>
      </c>
      <c r="Q46" t="s">
        <v>527</v>
      </c>
    </row>
    <row r="47" spans="3:17" x14ac:dyDescent="0.2">
      <c r="C47" s="1" t="s">
        <v>153</v>
      </c>
      <c r="D47" t="s">
        <v>324</v>
      </c>
      <c r="E47" t="s">
        <v>326</v>
      </c>
      <c r="F47" s="1" t="s">
        <v>371</v>
      </c>
      <c r="H47" s="12" t="s">
        <v>37</v>
      </c>
      <c r="I47" s="11" t="s">
        <v>693</v>
      </c>
      <c r="J47" s="12" t="s">
        <v>52</v>
      </c>
      <c r="K47" s="13">
        <v>13.4</v>
      </c>
      <c r="L47" s="12">
        <v>151</v>
      </c>
      <c r="M47" s="12">
        <v>325</v>
      </c>
      <c r="N47" s="13">
        <v>26</v>
      </c>
      <c r="O47" s="19">
        <v>188.51</v>
      </c>
      <c r="Q47" t="s">
        <v>528</v>
      </c>
    </row>
    <row r="48" spans="3:17" x14ac:dyDescent="0.2">
      <c r="C48" s="1" t="s">
        <v>154</v>
      </c>
      <c r="D48" t="s">
        <v>324</v>
      </c>
      <c r="E48" t="s">
        <v>326</v>
      </c>
      <c r="F48" s="1" t="s">
        <v>372</v>
      </c>
      <c r="H48" s="12" t="s">
        <v>38</v>
      </c>
      <c r="I48" s="11" t="s">
        <v>694</v>
      </c>
      <c r="J48" s="12" t="s">
        <v>52</v>
      </c>
      <c r="K48" s="13">
        <v>14.2</v>
      </c>
      <c r="L48" s="12">
        <v>180</v>
      </c>
      <c r="M48" s="12">
        <v>370</v>
      </c>
      <c r="N48" s="13">
        <v>26</v>
      </c>
      <c r="O48" s="19">
        <v>207.2</v>
      </c>
      <c r="Q48" t="s">
        <v>529</v>
      </c>
    </row>
    <row r="49" spans="3:17" x14ac:dyDescent="0.2">
      <c r="C49" s="1" t="s">
        <v>155</v>
      </c>
      <c r="D49" t="s">
        <v>324</v>
      </c>
      <c r="E49" t="s">
        <v>326</v>
      </c>
      <c r="F49" s="1" t="s">
        <v>373</v>
      </c>
      <c r="H49" s="12" t="s">
        <v>39</v>
      </c>
      <c r="I49" s="11" t="s">
        <v>695</v>
      </c>
      <c r="J49" s="12" t="s">
        <v>52</v>
      </c>
      <c r="K49" s="13">
        <v>15.1</v>
      </c>
      <c r="L49" s="12">
        <v>216</v>
      </c>
      <c r="M49" s="12">
        <v>440</v>
      </c>
      <c r="N49" s="13">
        <v>26</v>
      </c>
      <c r="O49" s="19">
        <v>258.74</v>
      </c>
      <c r="Q49" t="s">
        <v>530</v>
      </c>
    </row>
    <row r="50" spans="3:17" x14ac:dyDescent="0.2">
      <c r="C50" s="1" t="s">
        <v>156</v>
      </c>
      <c r="D50" t="s">
        <v>324</v>
      </c>
      <c r="E50" t="s">
        <v>326</v>
      </c>
      <c r="F50" s="1" t="s">
        <v>374</v>
      </c>
      <c r="H50" s="12" t="s">
        <v>40</v>
      </c>
      <c r="I50" s="11" t="s">
        <v>696</v>
      </c>
      <c r="J50" s="12" t="s">
        <v>52</v>
      </c>
      <c r="K50" s="13">
        <v>16.100000000000001</v>
      </c>
      <c r="L50" s="12">
        <v>223</v>
      </c>
      <c r="M50" s="12">
        <v>455</v>
      </c>
      <c r="N50" s="13">
        <v>26</v>
      </c>
      <c r="O50" s="19">
        <v>262</v>
      </c>
      <c r="Q50" t="s">
        <v>531</v>
      </c>
    </row>
    <row r="51" spans="3:17" x14ac:dyDescent="0.2">
      <c r="C51" s="1" t="s">
        <v>157</v>
      </c>
      <c r="D51" t="s">
        <v>324</v>
      </c>
      <c r="E51" t="s">
        <v>326</v>
      </c>
      <c r="F51" s="1" t="s">
        <v>375</v>
      </c>
      <c r="H51" s="12" t="s">
        <v>41</v>
      </c>
      <c r="I51" s="11" t="s">
        <v>697</v>
      </c>
      <c r="J51" s="12" t="s">
        <v>52</v>
      </c>
      <c r="K51" s="13">
        <v>16.2</v>
      </c>
      <c r="L51" s="12">
        <v>230</v>
      </c>
      <c r="M51" s="12">
        <v>460</v>
      </c>
      <c r="N51" s="13">
        <v>26</v>
      </c>
      <c r="O51" s="19">
        <v>264.17</v>
      </c>
      <c r="Q51" t="s">
        <v>532</v>
      </c>
    </row>
    <row r="52" spans="3:17" x14ac:dyDescent="0.2">
      <c r="C52" s="1" t="s">
        <v>158</v>
      </c>
      <c r="D52" t="s">
        <v>324</v>
      </c>
      <c r="E52" t="s">
        <v>326</v>
      </c>
      <c r="F52" s="1" t="s">
        <v>376</v>
      </c>
      <c r="H52" s="12" t="s">
        <v>42</v>
      </c>
      <c r="I52" s="11" t="s">
        <v>698</v>
      </c>
      <c r="J52" s="12" t="s">
        <v>52</v>
      </c>
      <c r="K52" s="13">
        <v>16.3</v>
      </c>
      <c r="L52" s="12">
        <v>245</v>
      </c>
      <c r="M52" s="12">
        <v>500</v>
      </c>
      <c r="N52" s="13">
        <v>26</v>
      </c>
      <c r="O52" s="19">
        <v>309.20999999999998</v>
      </c>
      <c r="Q52" t="s">
        <v>533</v>
      </c>
    </row>
    <row r="53" spans="3:17" x14ac:dyDescent="0.2">
      <c r="C53" s="1" t="s">
        <v>159</v>
      </c>
      <c r="D53" t="s">
        <v>324</v>
      </c>
      <c r="E53" t="s">
        <v>326</v>
      </c>
      <c r="F53" s="1" t="s">
        <v>377</v>
      </c>
      <c r="H53" s="12" t="s">
        <v>43</v>
      </c>
      <c r="I53" s="11" t="s">
        <v>699</v>
      </c>
      <c r="J53" s="12" t="s">
        <v>52</v>
      </c>
      <c r="K53" s="13">
        <v>16.5</v>
      </c>
      <c r="L53" s="12">
        <v>260</v>
      </c>
      <c r="M53" s="12">
        <v>535</v>
      </c>
      <c r="N53" s="13">
        <v>26</v>
      </c>
      <c r="O53" s="19">
        <v>347</v>
      </c>
      <c r="Q53" t="s">
        <v>534</v>
      </c>
    </row>
    <row r="54" spans="3:17" x14ac:dyDescent="0.2">
      <c r="C54" s="1" t="s">
        <v>160</v>
      </c>
      <c r="D54" t="s">
        <v>324</v>
      </c>
      <c r="E54" t="s">
        <v>326</v>
      </c>
      <c r="F54" s="1" t="s">
        <v>378</v>
      </c>
      <c r="H54" s="12" t="s">
        <v>44</v>
      </c>
      <c r="I54" s="11" t="s">
        <v>700</v>
      </c>
      <c r="J54" s="12" t="s">
        <v>52</v>
      </c>
      <c r="K54" s="13">
        <v>17.5</v>
      </c>
      <c r="L54" s="12">
        <v>288</v>
      </c>
      <c r="M54" s="12">
        <v>570</v>
      </c>
      <c r="N54" s="13">
        <v>26</v>
      </c>
      <c r="O54" s="19">
        <f>O56/42*40</f>
        <v>383.7619047619047</v>
      </c>
      <c r="Q54" t="s">
        <v>535</v>
      </c>
    </row>
    <row r="55" spans="3:17" x14ac:dyDescent="0.2">
      <c r="C55" s="1" t="s">
        <v>161</v>
      </c>
      <c r="D55" t="s">
        <v>324</v>
      </c>
      <c r="E55" t="s">
        <v>326</v>
      </c>
      <c r="F55" s="1" t="s">
        <v>379</v>
      </c>
      <c r="H55" s="12" t="s">
        <v>45</v>
      </c>
      <c r="I55" s="11" t="s">
        <v>701</v>
      </c>
      <c r="J55" s="12" t="s">
        <v>52</v>
      </c>
      <c r="K55" s="13">
        <v>17.7</v>
      </c>
      <c r="L55" s="12">
        <v>296</v>
      </c>
      <c r="M55" s="12">
        <v>580</v>
      </c>
      <c r="N55" s="13">
        <v>26</v>
      </c>
      <c r="O55" s="19">
        <f>O56/42*41</f>
        <v>393.35595238095237</v>
      </c>
      <c r="Q55" t="s">
        <v>536</v>
      </c>
    </row>
    <row r="56" spans="3:17" x14ac:dyDescent="0.2">
      <c r="C56" s="1" t="s">
        <v>162</v>
      </c>
      <c r="D56" t="s">
        <v>324</v>
      </c>
      <c r="E56" t="s">
        <v>326</v>
      </c>
      <c r="F56" s="1" t="s">
        <v>380</v>
      </c>
      <c r="H56" s="12" t="s">
        <v>46</v>
      </c>
      <c r="I56" s="11" t="s">
        <v>702</v>
      </c>
      <c r="J56" s="12" t="s">
        <v>52</v>
      </c>
      <c r="K56" s="13">
        <v>17.8</v>
      </c>
      <c r="L56" s="12">
        <v>302</v>
      </c>
      <c r="M56" s="12">
        <v>590</v>
      </c>
      <c r="N56" s="13">
        <v>26</v>
      </c>
      <c r="O56" s="19">
        <v>402.95</v>
      </c>
      <c r="Q56" t="s">
        <v>537</v>
      </c>
    </row>
    <row r="57" spans="3:17" x14ac:dyDescent="0.2">
      <c r="C57" s="1" t="s">
        <v>163</v>
      </c>
      <c r="D57" t="s">
        <v>324</v>
      </c>
      <c r="E57" t="s">
        <v>326</v>
      </c>
      <c r="F57" s="1" t="s">
        <v>381</v>
      </c>
      <c r="H57" s="12" t="s">
        <v>47</v>
      </c>
      <c r="I57" s="11" t="s">
        <v>703</v>
      </c>
      <c r="J57" s="12" t="s">
        <v>52</v>
      </c>
      <c r="K57" s="13">
        <v>19.5</v>
      </c>
      <c r="L57" s="12">
        <v>360</v>
      </c>
      <c r="M57" s="12">
        <v>640</v>
      </c>
      <c r="N57" s="13">
        <v>26</v>
      </c>
      <c r="O57" s="19">
        <v>541.88</v>
      </c>
      <c r="Q57" t="s">
        <v>538</v>
      </c>
    </row>
    <row r="58" spans="3:17" x14ac:dyDescent="0.2">
      <c r="C58" s="1" t="s">
        <v>173</v>
      </c>
      <c r="D58" t="s">
        <v>324</v>
      </c>
      <c r="E58" t="s">
        <v>326</v>
      </c>
      <c r="F58" s="1" t="s">
        <v>382</v>
      </c>
      <c r="H58" s="12" t="s">
        <v>48</v>
      </c>
      <c r="I58" s="11" t="s">
        <v>704</v>
      </c>
      <c r="J58" s="12" t="s">
        <v>52</v>
      </c>
      <c r="K58" s="13">
        <v>20.8</v>
      </c>
      <c r="L58" s="12">
        <v>439</v>
      </c>
      <c r="M58" s="12">
        <v>775</v>
      </c>
      <c r="N58" s="13">
        <v>26</v>
      </c>
      <c r="O58" s="19">
        <v>665.89</v>
      </c>
      <c r="Q58" t="s">
        <v>539</v>
      </c>
    </row>
    <row r="59" spans="3:17" x14ac:dyDescent="0.2">
      <c r="C59" s="1" t="s">
        <v>174</v>
      </c>
      <c r="D59" t="s">
        <v>324</v>
      </c>
      <c r="E59" t="s">
        <v>326</v>
      </c>
      <c r="F59" s="1" t="s">
        <v>383</v>
      </c>
      <c r="H59" s="12" t="s">
        <v>49</v>
      </c>
      <c r="I59" s="11" t="s">
        <v>705</v>
      </c>
      <c r="J59" s="12" t="s">
        <v>52</v>
      </c>
      <c r="K59" s="13">
        <v>21.9</v>
      </c>
      <c r="L59" s="12">
        <v>468</v>
      </c>
      <c r="M59" s="12">
        <v>895</v>
      </c>
      <c r="N59" s="13">
        <v>26</v>
      </c>
      <c r="O59" s="19" t="s">
        <v>904</v>
      </c>
      <c r="Q59" t="s">
        <v>540</v>
      </c>
    </row>
    <row r="60" spans="3:17" x14ac:dyDescent="0.2">
      <c r="C60" s="1" t="s">
        <v>175</v>
      </c>
      <c r="D60" t="s">
        <v>324</v>
      </c>
      <c r="E60" t="s">
        <v>326</v>
      </c>
      <c r="F60" s="1" t="s">
        <v>384</v>
      </c>
      <c r="H60" s="12" t="s">
        <v>50</v>
      </c>
      <c r="I60" s="11" t="s">
        <v>706</v>
      </c>
      <c r="J60" s="12" t="s">
        <v>52</v>
      </c>
      <c r="K60" s="13">
        <v>24</v>
      </c>
      <c r="L60" s="12">
        <v>576</v>
      </c>
      <c r="M60" s="12">
        <v>1155</v>
      </c>
      <c r="N60" s="13">
        <v>26</v>
      </c>
      <c r="O60" s="19" t="s">
        <v>904</v>
      </c>
      <c r="Q60" t="s">
        <v>541</v>
      </c>
    </row>
    <row r="61" spans="3:17" x14ac:dyDescent="0.2">
      <c r="C61" s="1" t="s">
        <v>176</v>
      </c>
      <c r="D61" t="s">
        <v>324</v>
      </c>
      <c r="E61" t="s">
        <v>326</v>
      </c>
      <c r="F61" s="1" t="s">
        <v>385</v>
      </c>
      <c r="H61" s="12" t="s">
        <v>51</v>
      </c>
      <c r="I61" s="11" t="s">
        <v>707</v>
      </c>
      <c r="J61" s="12" t="s">
        <v>52</v>
      </c>
      <c r="K61" s="13">
        <v>26.4</v>
      </c>
      <c r="L61" s="12">
        <v>720</v>
      </c>
      <c r="M61" s="12">
        <v>1310</v>
      </c>
      <c r="N61" s="13">
        <v>26</v>
      </c>
      <c r="O61" s="19" t="s">
        <v>904</v>
      </c>
      <c r="Q61" t="s">
        <v>542</v>
      </c>
    </row>
    <row r="62" spans="3:17" ht="3.6" customHeight="1" x14ac:dyDescent="0.2">
      <c r="H62" s="15"/>
      <c r="I62" s="16"/>
      <c r="J62" s="15"/>
      <c r="K62" s="17"/>
      <c r="L62" s="15"/>
      <c r="M62" s="15"/>
      <c r="N62" s="15"/>
      <c r="O62" s="20"/>
    </row>
    <row r="63" spans="3:17" x14ac:dyDescent="0.2">
      <c r="C63" s="1" t="s">
        <v>104</v>
      </c>
      <c r="D63" t="s">
        <v>323</v>
      </c>
      <c r="E63" t="s">
        <v>325</v>
      </c>
      <c r="F63" s="1" t="s">
        <v>329</v>
      </c>
      <c r="H63" s="12" t="s">
        <v>204</v>
      </c>
      <c r="I63" s="11" t="s">
        <v>708</v>
      </c>
      <c r="J63" s="12" t="s">
        <v>84</v>
      </c>
      <c r="K63" s="13">
        <v>5.8</v>
      </c>
      <c r="L63" s="12">
        <v>19.2</v>
      </c>
      <c r="M63" s="12">
        <v>57</v>
      </c>
      <c r="N63" s="12">
        <v>19.5</v>
      </c>
      <c r="O63" s="19">
        <v>23.52</v>
      </c>
      <c r="Q63" t="s">
        <v>543</v>
      </c>
    </row>
    <row r="64" spans="3:17" x14ac:dyDescent="0.2">
      <c r="C64" s="1" t="s">
        <v>105</v>
      </c>
      <c r="D64" t="s">
        <v>324</v>
      </c>
      <c r="E64" t="s">
        <v>326</v>
      </c>
      <c r="F64" s="1" t="s">
        <v>386</v>
      </c>
      <c r="H64" s="12" t="s">
        <v>53</v>
      </c>
      <c r="I64" s="11" t="s">
        <v>709</v>
      </c>
      <c r="J64" s="12" t="s">
        <v>84</v>
      </c>
      <c r="K64" s="13">
        <v>6.3</v>
      </c>
      <c r="L64" s="12">
        <v>28.8</v>
      </c>
      <c r="M64" s="12">
        <v>80</v>
      </c>
      <c r="N64" s="12">
        <v>19.5</v>
      </c>
      <c r="O64" s="19">
        <v>32.06</v>
      </c>
      <c r="Q64" t="s">
        <v>544</v>
      </c>
    </row>
    <row r="65" spans="3:17" x14ac:dyDescent="0.2">
      <c r="C65" s="1" t="s">
        <v>106</v>
      </c>
      <c r="D65" t="s">
        <v>324</v>
      </c>
      <c r="E65" t="s">
        <v>326</v>
      </c>
      <c r="F65" s="1" t="s">
        <v>387</v>
      </c>
      <c r="H65" s="12" t="s">
        <v>54</v>
      </c>
      <c r="I65" s="11" t="s">
        <v>710</v>
      </c>
      <c r="J65" s="12" t="s">
        <v>84</v>
      </c>
      <c r="K65" s="13">
        <v>6.7</v>
      </c>
      <c r="L65" s="12">
        <v>38.4</v>
      </c>
      <c r="M65" s="12">
        <v>105</v>
      </c>
      <c r="N65" s="12">
        <v>19.5</v>
      </c>
      <c r="O65" s="19">
        <v>43.32</v>
      </c>
      <c r="Q65" t="s">
        <v>545</v>
      </c>
    </row>
    <row r="66" spans="3:17" x14ac:dyDescent="0.2">
      <c r="C66" s="1" t="s">
        <v>107</v>
      </c>
      <c r="D66" t="s">
        <v>324</v>
      </c>
      <c r="E66" t="s">
        <v>326</v>
      </c>
      <c r="F66" s="1" t="s">
        <v>388</v>
      </c>
      <c r="H66" s="12" t="s">
        <v>55</v>
      </c>
      <c r="I66" s="11" t="s">
        <v>711</v>
      </c>
      <c r="J66" s="12" t="s">
        <v>84</v>
      </c>
      <c r="K66" s="13">
        <v>7.3</v>
      </c>
      <c r="L66" s="13">
        <v>48</v>
      </c>
      <c r="M66" s="12">
        <v>125</v>
      </c>
      <c r="N66" s="12">
        <v>19.5</v>
      </c>
      <c r="O66" s="19">
        <v>53.51</v>
      </c>
      <c r="Q66" t="s">
        <v>546</v>
      </c>
    </row>
    <row r="67" spans="3:17" x14ac:dyDescent="0.2">
      <c r="C67" s="1" t="s">
        <v>108</v>
      </c>
      <c r="D67" t="s">
        <v>324</v>
      </c>
      <c r="E67" t="s">
        <v>326</v>
      </c>
      <c r="F67" s="1" t="s">
        <v>389</v>
      </c>
      <c r="H67" s="12" t="s">
        <v>56</v>
      </c>
      <c r="I67" s="11" t="s">
        <v>712</v>
      </c>
      <c r="J67" s="12" t="s">
        <v>84</v>
      </c>
      <c r="K67" s="13">
        <v>8.1</v>
      </c>
      <c r="L67" s="13">
        <v>57.6</v>
      </c>
      <c r="M67" s="12">
        <v>135</v>
      </c>
      <c r="N67" s="12">
        <v>19.5</v>
      </c>
      <c r="O67" s="19">
        <v>68</v>
      </c>
      <c r="Q67" t="s">
        <v>547</v>
      </c>
    </row>
    <row r="68" spans="3:17" x14ac:dyDescent="0.2">
      <c r="C68" s="1" t="s">
        <v>109</v>
      </c>
      <c r="D68" t="s">
        <v>324</v>
      </c>
      <c r="E68" t="s">
        <v>326</v>
      </c>
      <c r="F68" s="1" t="s">
        <v>390</v>
      </c>
      <c r="H68" s="12" t="s">
        <v>57</v>
      </c>
      <c r="I68" s="11" t="s">
        <v>713</v>
      </c>
      <c r="J68" s="12" t="s">
        <v>84</v>
      </c>
      <c r="K68" s="13">
        <v>8.3000000000000007</v>
      </c>
      <c r="L68" s="13">
        <v>67</v>
      </c>
      <c r="M68" s="12">
        <v>150</v>
      </c>
      <c r="N68" s="12">
        <v>19.5</v>
      </c>
      <c r="O68" s="19">
        <v>77.34</v>
      </c>
      <c r="Q68" t="s">
        <v>548</v>
      </c>
    </row>
    <row r="69" spans="3:17" x14ac:dyDescent="0.2">
      <c r="C69" s="1" t="s">
        <v>110</v>
      </c>
      <c r="D69" t="s">
        <v>324</v>
      </c>
      <c r="E69" t="s">
        <v>326</v>
      </c>
      <c r="F69" s="1" t="s">
        <v>391</v>
      </c>
      <c r="H69" s="12" t="s">
        <v>58</v>
      </c>
      <c r="I69" s="11" t="s">
        <v>714</v>
      </c>
      <c r="J69" s="12" t="s">
        <v>84</v>
      </c>
      <c r="K69" s="13">
        <v>9.5</v>
      </c>
      <c r="L69" s="13">
        <v>77</v>
      </c>
      <c r="M69" s="12">
        <v>175</v>
      </c>
      <c r="N69" s="12">
        <v>19.5</v>
      </c>
      <c r="O69" s="19">
        <v>88.97</v>
      </c>
      <c r="Q69" t="s">
        <v>549</v>
      </c>
    </row>
    <row r="70" spans="3:17" x14ac:dyDescent="0.2">
      <c r="C70" s="1" t="s">
        <v>111</v>
      </c>
      <c r="D70" t="s">
        <v>324</v>
      </c>
      <c r="E70" t="s">
        <v>326</v>
      </c>
      <c r="F70" s="1" t="s">
        <v>392</v>
      </c>
      <c r="H70" s="12" t="s">
        <v>59</v>
      </c>
      <c r="I70" s="11" t="s">
        <v>715</v>
      </c>
      <c r="J70" s="12" t="s">
        <v>84</v>
      </c>
      <c r="K70" s="13">
        <v>10.3</v>
      </c>
      <c r="L70" s="13">
        <v>86.4</v>
      </c>
      <c r="M70" s="12">
        <v>200</v>
      </c>
      <c r="N70" s="12">
        <v>19.5</v>
      </c>
      <c r="O70" s="19">
        <v>100</v>
      </c>
      <c r="Q70" t="s">
        <v>550</v>
      </c>
    </row>
    <row r="71" spans="3:17" x14ac:dyDescent="0.2">
      <c r="C71" s="1" t="s">
        <v>112</v>
      </c>
      <c r="D71" t="s">
        <v>324</v>
      </c>
      <c r="E71" t="s">
        <v>326</v>
      </c>
      <c r="F71" s="1" t="s">
        <v>393</v>
      </c>
      <c r="H71" s="12" t="s">
        <v>60</v>
      </c>
      <c r="I71" s="11" t="s">
        <v>716</v>
      </c>
      <c r="J71" s="12" t="s">
        <v>84</v>
      </c>
      <c r="K71" s="13">
        <v>10.5</v>
      </c>
      <c r="L71" s="13">
        <v>96</v>
      </c>
      <c r="M71" s="12">
        <v>220</v>
      </c>
      <c r="N71" s="12">
        <v>19.5</v>
      </c>
      <c r="O71" s="19">
        <v>110.81</v>
      </c>
      <c r="Q71" t="s">
        <v>551</v>
      </c>
    </row>
    <row r="72" spans="3:17" x14ac:dyDescent="0.2">
      <c r="C72" s="1" t="s">
        <v>113</v>
      </c>
      <c r="D72" t="s">
        <v>324</v>
      </c>
      <c r="E72" t="s">
        <v>326</v>
      </c>
      <c r="F72" s="1" t="s">
        <v>394</v>
      </c>
      <c r="H72" s="12" t="s">
        <v>61</v>
      </c>
      <c r="I72" s="11" t="s">
        <v>717</v>
      </c>
      <c r="J72" s="12" t="s">
        <v>84</v>
      </c>
      <c r="K72" s="13">
        <v>10.8</v>
      </c>
      <c r="L72" s="12">
        <v>115</v>
      </c>
      <c r="M72" s="12">
        <v>260</v>
      </c>
      <c r="N72" s="12">
        <v>19.5</v>
      </c>
      <c r="O72" s="19">
        <v>132.76</v>
      </c>
      <c r="Q72" t="s">
        <v>552</v>
      </c>
    </row>
    <row r="73" spans="3:17" x14ac:dyDescent="0.2">
      <c r="C73" s="1" t="s">
        <v>177</v>
      </c>
      <c r="D73" t="s">
        <v>324</v>
      </c>
      <c r="E73" t="s">
        <v>326</v>
      </c>
      <c r="F73" s="1" t="s">
        <v>395</v>
      </c>
      <c r="H73" s="12" t="s">
        <v>62</v>
      </c>
      <c r="I73" s="11" t="s">
        <v>718</v>
      </c>
      <c r="J73" s="12" t="s">
        <v>84</v>
      </c>
      <c r="K73" s="13">
        <v>11.6</v>
      </c>
      <c r="L73" s="12">
        <v>134</v>
      </c>
      <c r="M73" s="12">
        <v>290</v>
      </c>
      <c r="N73" s="12">
        <v>19.5</v>
      </c>
      <c r="O73" s="19">
        <v>156.33000000000001</v>
      </c>
      <c r="Q73" t="s">
        <v>553</v>
      </c>
    </row>
    <row r="74" spans="3:17" x14ac:dyDescent="0.2">
      <c r="C74" s="1" t="s">
        <v>178</v>
      </c>
      <c r="D74" t="s">
        <v>324</v>
      </c>
      <c r="E74" t="s">
        <v>326</v>
      </c>
      <c r="F74" s="1" t="s">
        <v>396</v>
      </c>
      <c r="H74" s="12" t="s">
        <v>63</v>
      </c>
      <c r="I74" s="11" t="s">
        <v>719</v>
      </c>
      <c r="J74" s="12" t="s">
        <v>84</v>
      </c>
      <c r="K74" s="13">
        <v>12.1</v>
      </c>
      <c r="L74" s="12">
        <v>154</v>
      </c>
      <c r="M74" s="12">
        <v>320</v>
      </c>
      <c r="N74" s="12">
        <v>19.5</v>
      </c>
      <c r="O74" s="19">
        <v>182</v>
      </c>
      <c r="Q74" t="s">
        <v>554</v>
      </c>
    </row>
    <row r="75" spans="3:17" x14ac:dyDescent="0.2">
      <c r="C75" s="1" t="s">
        <v>179</v>
      </c>
      <c r="D75" t="s">
        <v>324</v>
      </c>
      <c r="E75" t="s">
        <v>326</v>
      </c>
      <c r="F75" s="1" t="s">
        <v>397</v>
      </c>
      <c r="H75" s="12" t="s">
        <v>64</v>
      </c>
      <c r="I75" s="11" t="s">
        <v>720</v>
      </c>
      <c r="J75" s="12" t="s">
        <v>84</v>
      </c>
      <c r="K75" s="13">
        <v>12.9</v>
      </c>
      <c r="L75" s="12">
        <v>173</v>
      </c>
      <c r="M75" s="12">
        <v>350</v>
      </c>
      <c r="N75" s="12">
        <v>19.5</v>
      </c>
      <c r="O75" s="19">
        <v>199.23</v>
      </c>
      <c r="Q75" t="s">
        <v>555</v>
      </c>
    </row>
    <row r="76" spans="3:17" x14ac:dyDescent="0.2">
      <c r="C76" s="1" t="s">
        <v>180</v>
      </c>
      <c r="D76" t="s">
        <v>324</v>
      </c>
      <c r="E76" t="s">
        <v>326</v>
      </c>
      <c r="F76" s="1" t="s">
        <v>398</v>
      </c>
      <c r="H76" s="12" t="s">
        <v>65</v>
      </c>
      <c r="I76" s="11" t="s">
        <v>721</v>
      </c>
      <c r="J76" s="12" t="s">
        <v>84</v>
      </c>
      <c r="K76" s="13">
        <v>13</v>
      </c>
      <c r="L76" s="12">
        <v>182</v>
      </c>
      <c r="M76" s="12">
        <v>360</v>
      </c>
      <c r="N76" s="12">
        <v>19.5</v>
      </c>
      <c r="O76" s="19">
        <v>209</v>
      </c>
      <c r="Q76" t="s">
        <v>556</v>
      </c>
    </row>
    <row r="77" spans="3:17" x14ac:dyDescent="0.2">
      <c r="C77" s="1" t="s">
        <v>181</v>
      </c>
      <c r="D77" t="s">
        <v>324</v>
      </c>
      <c r="E77" t="s">
        <v>326</v>
      </c>
      <c r="F77" s="1" t="s">
        <v>399</v>
      </c>
      <c r="H77" s="12" t="s">
        <v>66</v>
      </c>
      <c r="I77" s="11" t="s">
        <v>722</v>
      </c>
      <c r="J77" s="12" t="s">
        <v>84</v>
      </c>
      <c r="K77" s="13">
        <v>13.7</v>
      </c>
      <c r="L77" s="12">
        <v>192</v>
      </c>
      <c r="M77" s="12">
        <v>370</v>
      </c>
      <c r="N77" s="12">
        <v>19.5</v>
      </c>
      <c r="O77" s="19">
        <v>218</v>
      </c>
      <c r="Q77" t="s">
        <v>557</v>
      </c>
    </row>
    <row r="78" spans="3:17" x14ac:dyDescent="0.2">
      <c r="C78" s="1" t="s">
        <v>182</v>
      </c>
      <c r="D78" t="s">
        <v>324</v>
      </c>
      <c r="E78" t="s">
        <v>326</v>
      </c>
      <c r="F78" s="1" t="s">
        <v>400</v>
      </c>
      <c r="H78" s="12" t="s">
        <v>67</v>
      </c>
      <c r="I78" s="11" t="s">
        <v>723</v>
      </c>
      <c r="J78" s="12" t="s">
        <v>84</v>
      </c>
      <c r="K78" s="13">
        <v>14.1</v>
      </c>
      <c r="L78" s="12">
        <v>205</v>
      </c>
      <c r="M78" s="12">
        <v>380</v>
      </c>
      <c r="N78" s="12">
        <v>19.5</v>
      </c>
      <c r="O78" s="19">
        <v>241.01</v>
      </c>
      <c r="Q78" t="s">
        <v>558</v>
      </c>
    </row>
    <row r="79" spans="3:17" x14ac:dyDescent="0.2">
      <c r="C79" s="1" t="s">
        <v>183</v>
      </c>
      <c r="D79" t="s">
        <v>324</v>
      </c>
      <c r="E79" t="s">
        <v>326</v>
      </c>
      <c r="F79" s="1" t="s">
        <v>401</v>
      </c>
      <c r="H79" s="12" t="s">
        <v>68</v>
      </c>
      <c r="I79" s="11" t="s">
        <v>724</v>
      </c>
      <c r="J79" s="12" t="s">
        <v>84</v>
      </c>
      <c r="K79" s="13">
        <v>14.6</v>
      </c>
      <c r="L79" s="12">
        <v>236</v>
      </c>
      <c r="M79" s="12">
        <v>445</v>
      </c>
      <c r="N79" s="12">
        <v>19.5</v>
      </c>
      <c r="O79" s="19">
        <f>O80/25*24</f>
        <v>271.86239999999998</v>
      </c>
      <c r="Q79" t="s">
        <v>559</v>
      </c>
    </row>
    <row r="80" spans="3:17" x14ac:dyDescent="0.2">
      <c r="C80" s="1" t="s">
        <v>184</v>
      </c>
      <c r="D80" t="s">
        <v>324</v>
      </c>
      <c r="E80" t="s">
        <v>326</v>
      </c>
      <c r="F80" s="1" t="s">
        <v>402</v>
      </c>
      <c r="H80" s="12" t="s">
        <v>69</v>
      </c>
      <c r="I80" s="11" t="s">
        <v>725</v>
      </c>
      <c r="J80" s="12" t="s">
        <v>84</v>
      </c>
      <c r="K80" s="13">
        <v>14.8</v>
      </c>
      <c r="L80" s="12">
        <v>240</v>
      </c>
      <c r="M80" s="12">
        <v>470</v>
      </c>
      <c r="N80" s="12">
        <v>19.5</v>
      </c>
      <c r="O80" s="19">
        <v>283.19</v>
      </c>
      <c r="Q80" t="s">
        <v>560</v>
      </c>
    </row>
    <row r="81" spans="3:17" x14ac:dyDescent="0.2">
      <c r="C81" s="1" t="s">
        <v>185</v>
      </c>
      <c r="D81" t="s">
        <v>324</v>
      </c>
      <c r="E81" t="s">
        <v>326</v>
      </c>
      <c r="F81" s="1" t="s">
        <v>403</v>
      </c>
      <c r="H81" s="12" t="s">
        <v>70</v>
      </c>
      <c r="I81" s="11" t="s">
        <v>726</v>
      </c>
      <c r="J81" s="12" t="s">
        <v>84</v>
      </c>
      <c r="K81" s="13">
        <v>15.2</v>
      </c>
      <c r="L81" s="12">
        <v>252</v>
      </c>
      <c r="M81" s="12">
        <v>495</v>
      </c>
      <c r="N81" s="12">
        <v>19.5</v>
      </c>
      <c r="O81" s="19">
        <v>296</v>
      </c>
      <c r="Q81" t="s">
        <v>561</v>
      </c>
    </row>
    <row r="82" spans="3:17" x14ac:dyDescent="0.2">
      <c r="C82" s="1" t="s">
        <v>186</v>
      </c>
      <c r="D82" t="s">
        <v>324</v>
      </c>
      <c r="E82" t="s">
        <v>326</v>
      </c>
      <c r="F82" s="1" t="s">
        <v>404</v>
      </c>
      <c r="H82" s="12" t="s">
        <v>71</v>
      </c>
      <c r="I82" s="11" t="s">
        <v>727</v>
      </c>
      <c r="J82" s="12" t="s">
        <v>84</v>
      </c>
      <c r="K82" s="13">
        <v>15.9</v>
      </c>
      <c r="L82" s="12">
        <v>259</v>
      </c>
      <c r="M82" s="12">
        <v>530</v>
      </c>
      <c r="N82" s="12">
        <v>19.5</v>
      </c>
      <c r="O82" s="19">
        <v>307.57</v>
      </c>
      <c r="Q82" t="s">
        <v>562</v>
      </c>
    </row>
    <row r="83" spans="3:17" x14ac:dyDescent="0.2">
      <c r="C83" s="1" t="s">
        <v>187</v>
      </c>
      <c r="D83" t="s">
        <v>324</v>
      </c>
      <c r="E83" t="s">
        <v>326</v>
      </c>
      <c r="F83" s="1" t="s">
        <v>405</v>
      </c>
      <c r="H83" s="12" t="s">
        <v>72</v>
      </c>
      <c r="I83" s="11" t="s">
        <v>728</v>
      </c>
      <c r="J83" s="12" t="s">
        <v>84</v>
      </c>
      <c r="K83" s="13">
        <v>17.2</v>
      </c>
      <c r="L83" s="12">
        <v>326</v>
      </c>
      <c r="M83" s="12">
        <v>600</v>
      </c>
      <c r="N83" s="12">
        <v>19.5</v>
      </c>
      <c r="O83" s="19">
        <v>400.84</v>
      </c>
      <c r="Q83" t="s">
        <v>563</v>
      </c>
    </row>
    <row r="84" spans="3:17" x14ac:dyDescent="0.2">
      <c r="C84" s="1" t="s">
        <v>188</v>
      </c>
      <c r="D84" t="s">
        <v>324</v>
      </c>
      <c r="E84" t="s">
        <v>326</v>
      </c>
      <c r="F84" s="1" t="s">
        <v>406</v>
      </c>
      <c r="H84" s="12" t="s">
        <v>73</v>
      </c>
      <c r="I84" s="11" t="s">
        <v>729</v>
      </c>
      <c r="J84" s="12" t="s">
        <v>84</v>
      </c>
      <c r="K84" s="13">
        <v>17.5</v>
      </c>
      <c r="L84" s="12">
        <v>346</v>
      </c>
      <c r="M84" s="12">
        <v>620</v>
      </c>
      <c r="N84" s="12">
        <v>19.5</v>
      </c>
      <c r="O84" s="19">
        <v>429</v>
      </c>
      <c r="Q84" t="s">
        <v>564</v>
      </c>
    </row>
    <row r="85" spans="3:17" x14ac:dyDescent="0.2">
      <c r="C85" s="1" t="s">
        <v>189</v>
      </c>
      <c r="D85" t="s">
        <v>324</v>
      </c>
      <c r="E85" t="s">
        <v>326</v>
      </c>
      <c r="F85" s="1" t="s">
        <v>407</v>
      </c>
      <c r="H85" s="12" t="s">
        <v>74</v>
      </c>
      <c r="I85" s="11" t="s">
        <v>730</v>
      </c>
      <c r="J85" s="12" t="s">
        <v>84</v>
      </c>
      <c r="K85" s="13">
        <v>17.600000000000001</v>
      </c>
      <c r="L85" s="12">
        <v>355</v>
      </c>
      <c r="M85" s="12">
        <v>630</v>
      </c>
      <c r="N85" s="12">
        <v>19.5</v>
      </c>
      <c r="O85" s="19">
        <f>O84/36*37</f>
        <v>440.91666666666663</v>
      </c>
      <c r="Q85" t="s">
        <v>565</v>
      </c>
    </row>
    <row r="86" spans="3:17" x14ac:dyDescent="0.2">
      <c r="C86" s="1" t="s">
        <v>190</v>
      </c>
      <c r="D86" t="s">
        <v>324</v>
      </c>
      <c r="E86" t="s">
        <v>326</v>
      </c>
      <c r="F86" s="1" t="s">
        <v>408</v>
      </c>
      <c r="H86" s="12" t="s">
        <v>75</v>
      </c>
      <c r="I86" s="11" t="s">
        <v>731</v>
      </c>
      <c r="J86" s="12" t="s">
        <v>84</v>
      </c>
      <c r="K86" s="13">
        <v>18.399999999999999</v>
      </c>
      <c r="L86" s="12">
        <v>384</v>
      </c>
      <c r="M86" s="12">
        <v>680</v>
      </c>
      <c r="N86" s="12">
        <v>19.5</v>
      </c>
      <c r="O86" s="19">
        <f>O88/42*40</f>
        <v>464.63809523809522</v>
      </c>
      <c r="Q86" t="s">
        <v>566</v>
      </c>
    </row>
    <row r="87" spans="3:17" x14ac:dyDescent="0.2">
      <c r="C87" s="1" t="s">
        <v>191</v>
      </c>
      <c r="D87" t="s">
        <v>324</v>
      </c>
      <c r="E87" t="s">
        <v>326</v>
      </c>
      <c r="F87" s="1" t="s">
        <v>409</v>
      </c>
      <c r="H87" s="12" t="s">
        <v>76</v>
      </c>
      <c r="I87" s="11" t="s">
        <v>732</v>
      </c>
      <c r="J87" s="12" t="s">
        <v>84</v>
      </c>
      <c r="K87" s="13">
        <v>18.899999999999999</v>
      </c>
      <c r="L87" s="12">
        <v>394</v>
      </c>
      <c r="M87" s="12">
        <v>700</v>
      </c>
      <c r="N87" s="12">
        <v>19.5</v>
      </c>
      <c r="O87" s="19">
        <f>O88/42*41</f>
        <v>476.25404761904764</v>
      </c>
      <c r="Q87" t="s">
        <v>567</v>
      </c>
    </row>
    <row r="88" spans="3:17" x14ac:dyDescent="0.2">
      <c r="C88" s="1" t="s">
        <v>192</v>
      </c>
      <c r="D88" t="s">
        <v>324</v>
      </c>
      <c r="E88" t="s">
        <v>326</v>
      </c>
      <c r="F88" s="1" t="s">
        <v>410</v>
      </c>
      <c r="H88" s="12" t="s">
        <v>77</v>
      </c>
      <c r="I88" s="11" t="s">
        <v>733</v>
      </c>
      <c r="J88" s="12" t="s">
        <v>84</v>
      </c>
      <c r="K88" s="13">
        <v>19</v>
      </c>
      <c r="L88" s="12">
        <v>403</v>
      </c>
      <c r="M88" s="12">
        <v>720</v>
      </c>
      <c r="N88" s="12">
        <v>19.5</v>
      </c>
      <c r="O88" s="19">
        <v>487.87</v>
      </c>
      <c r="Q88" t="s">
        <v>568</v>
      </c>
    </row>
    <row r="89" spans="3:17" x14ac:dyDescent="0.2">
      <c r="C89" s="1" t="s">
        <v>193</v>
      </c>
      <c r="D89" t="s">
        <v>324</v>
      </c>
      <c r="E89" t="s">
        <v>326</v>
      </c>
      <c r="F89" s="1" t="s">
        <v>411</v>
      </c>
      <c r="H89" s="12" t="s">
        <v>78</v>
      </c>
      <c r="I89" s="11" t="s">
        <v>734</v>
      </c>
      <c r="J89" s="12" t="s">
        <v>84</v>
      </c>
      <c r="K89" s="13">
        <v>20.9</v>
      </c>
      <c r="L89" s="12">
        <v>480</v>
      </c>
      <c r="M89" s="12">
        <v>925</v>
      </c>
      <c r="N89" s="12">
        <v>19.5</v>
      </c>
      <c r="O89" s="19">
        <v>668.43</v>
      </c>
      <c r="Q89" t="s">
        <v>569</v>
      </c>
    </row>
    <row r="90" spans="3:17" x14ac:dyDescent="0.2">
      <c r="C90" s="1" t="s">
        <v>194</v>
      </c>
      <c r="D90" t="s">
        <v>324</v>
      </c>
      <c r="E90" t="s">
        <v>326</v>
      </c>
      <c r="F90" s="1" t="s">
        <v>412</v>
      </c>
      <c r="H90" s="12" t="s">
        <v>79</v>
      </c>
      <c r="I90" s="11" t="s">
        <v>735</v>
      </c>
      <c r="J90" s="12" t="s">
        <v>84</v>
      </c>
      <c r="K90" s="13">
        <v>21.6</v>
      </c>
      <c r="L90" s="12">
        <v>538</v>
      </c>
      <c r="M90" s="12">
        <v>1020</v>
      </c>
      <c r="N90" s="12">
        <v>19.5</v>
      </c>
      <c r="O90" s="19" t="s">
        <v>904</v>
      </c>
      <c r="Q90" t="s">
        <v>570</v>
      </c>
    </row>
    <row r="91" spans="3:17" x14ac:dyDescent="0.2">
      <c r="C91" s="1" t="s">
        <v>195</v>
      </c>
      <c r="D91" t="s">
        <v>324</v>
      </c>
      <c r="E91" t="s">
        <v>326</v>
      </c>
      <c r="F91" s="1" t="s">
        <v>413</v>
      </c>
      <c r="H91" s="12" t="s">
        <v>80</v>
      </c>
      <c r="I91" s="11" t="s">
        <v>736</v>
      </c>
      <c r="J91" s="12" t="s">
        <v>84</v>
      </c>
      <c r="K91" s="13">
        <v>22.5</v>
      </c>
      <c r="L91" s="12">
        <v>586</v>
      </c>
      <c r="M91" s="12">
        <v>1100</v>
      </c>
      <c r="N91" s="12">
        <v>19.5</v>
      </c>
      <c r="O91" s="19" t="s">
        <v>904</v>
      </c>
      <c r="Q91" t="s">
        <v>571</v>
      </c>
    </row>
    <row r="92" spans="3:17" x14ac:dyDescent="0.2">
      <c r="C92" s="1" t="s">
        <v>196</v>
      </c>
      <c r="D92" t="s">
        <v>324</v>
      </c>
      <c r="E92" t="s">
        <v>326</v>
      </c>
      <c r="F92" s="1" t="s">
        <v>414</v>
      </c>
      <c r="H92" s="12" t="s">
        <v>81</v>
      </c>
      <c r="I92" s="11" t="s">
        <v>737</v>
      </c>
      <c r="J92" s="12" t="s">
        <v>84</v>
      </c>
      <c r="K92" s="13">
        <v>23.4</v>
      </c>
      <c r="L92" s="12">
        <v>624</v>
      </c>
      <c r="M92" s="12">
        <v>1170</v>
      </c>
      <c r="N92" s="12">
        <v>19.5</v>
      </c>
      <c r="O92" s="19" t="s">
        <v>904</v>
      </c>
      <c r="Q92" t="s">
        <v>572</v>
      </c>
    </row>
    <row r="93" spans="3:17" x14ac:dyDescent="0.2">
      <c r="C93" s="1" t="s">
        <v>197</v>
      </c>
      <c r="D93" t="s">
        <v>324</v>
      </c>
      <c r="E93" t="s">
        <v>326</v>
      </c>
      <c r="F93" s="1" t="s">
        <v>415</v>
      </c>
      <c r="H93" s="12" t="s">
        <v>82</v>
      </c>
      <c r="I93" s="11" t="s">
        <v>738</v>
      </c>
      <c r="J93" s="12" t="s">
        <v>84</v>
      </c>
      <c r="K93" s="13">
        <v>25.7</v>
      </c>
      <c r="L93" s="12">
        <v>786</v>
      </c>
      <c r="M93" s="12">
        <v>1300</v>
      </c>
      <c r="N93" s="12">
        <v>19.5</v>
      </c>
      <c r="O93" s="19">
        <v>1013.12</v>
      </c>
      <c r="Q93" t="s">
        <v>573</v>
      </c>
    </row>
    <row r="94" spans="3:17" x14ac:dyDescent="0.2">
      <c r="C94" s="1" t="s">
        <v>198</v>
      </c>
      <c r="D94" t="s">
        <v>324</v>
      </c>
      <c r="E94" t="s">
        <v>326</v>
      </c>
      <c r="F94" s="1" t="s">
        <v>416</v>
      </c>
      <c r="H94" s="12" t="s">
        <v>83</v>
      </c>
      <c r="I94" s="11" t="s">
        <v>739</v>
      </c>
      <c r="J94" s="12" t="s">
        <v>84</v>
      </c>
      <c r="K94" s="13">
        <v>28.6</v>
      </c>
      <c r="L94" s="12">
        <v>960</v>
      </c>
      <c r="M94" s="12">
        <v>1630</v>
      </c>
      <c r="N94" s="12">
        <v>19.5</v>
      </c>
      <c r="O94" s="19" t="s">
        <v>904</v>
      </c>
      <c r="Q94" t="s">
        <v>574</v>
      </c>
    </row>
    <row r="95" spans="3:17" ht="3.6" customHeight="1" x14ac:dyDescent="0.2">
      <c r="H95" s="15"/>
      <c r="I95" s="16"/>
      <c r="J95" s="15"/>
      <c r="K95" s="17"/>
      <c r="L95" s="15"/>
      <c r="M95" s="15"/>
      <c r="N95" s="15"/>
      <c r="O95" s="20"/>
    </row>
    <row r="96" spans="3:17" x14ac:dyDescent="0.2">
      <c r="C96" s="1" t="s">
        <v>114</v>
      </c>
      <c r="D96" t="s">
        <v>323</v>
      </c>
      <c r="E96" t="s">
        <v>325</v>
      </c>
      <c r="F96" s="1" t="s">
        <v>330</v>
      </c>
      <c r="H96" s="12" t="s">
        <v>205</v>
      </c>
      <c r="I96" s="11" t="s">
        <v>740</v>
      </c>
      <c r="J96" s="12" t="s">
        <v>220</v>
      </c>
      <c r="K96" s="13">
        <v>6.6</v>
      </c>
      <c r="L96" s="12">
        <v>28.8</v>
      </c>
      <c r="M96" s="12">
        <v>100</v>
      </c>
      <c r="N96" s="12">
        <v>13.3</v>
      </c>
      <c r="O96" s="19">
        <v>31.55</v>
      </c>
      <c r="Q96" t="s">
        <v>575</v>
      </c>
    </row>
    <row r="97" spans="3:17" x14ac:dyDescent="0.2">
      <c r="C97" s="1" t="s">
        <v>115</v>
      </c>
      <c r="D97" t="s">
        <v>324</v>
      </c>
      <c r="E97" t="s">
        <v>326</v>
      </c>
      <c r="F97" s="1" t="s">
        <v>417</v>
      </c>
      <c r="H97" s="12" t="s">
        <v>206</v>
      </c>
      <c r="I97" s="11" t="s">
        <v>741</v>
      </c>
      <c r="J97" s="12" t="s">
        <v>220</v>
      </c>
      <c r="K97" s="13">
        <v>6.8</v>
      </c>
      <c r="L97" s="12">
        <v>43.2</v>
      </c>
      <c r="M97" s="12">
        <v>110</v>
      </c>
      <c r="N97" s="12">
        <v>13.3</v>
      </c>
      <c r="O97" s="19">
        <v>45.25</v>
      </c>
      <c r="Q97" t="s">
        <v>576</v>
      </c>
    </row>
    <row r="98" spans="3:17" x14ac:dyDescent="0.2">
      <c r="C98" s="1" t="s">
        <v>116</v>
      </c>
      <c r="D98" t="s">
        <v>324</v>
      </c>
      <c r="E98" t="s">
        <v>326</v>
      </c>
      <c r="F98" s="1" t="s">
        <v>418</v>
      </c>
      <c r="H98" s="12" t="s">
        <v>207</v>
      </c>
      <c r="I98" s="11" t="s">
        <v>742</v>
      </c>
      <c r="J98" s="12" t="s">
        <v>220</v>
      </c>
      <c r="K98" s="13">
        <v>7.4</v>
      </c>
      <c r="L98" s="12">
        <v>57.6</v>
      </c>
      <c r="M98" s="12">
        <v>125</v>
      </c>
      <c r="N98" s="12">
        <v>13.3</v>
      </c>
      <c r="O98" s="19">
        <v>58.05</v>
      </c>
      <c r="Q98" t="s">
        <v>577</v>
      </c>
    </row>
    <row r="99" spans="3:17" x14ac:dyDescent="0.2">
      <c r="C99" s="1" t="s">
        <v>117</v>
      </c>
      <c r="D99" t="s">
        <v>324</v>
      </c>
      <c r="E99" t="s">
        <v>326</v>
      </c>
      <c r="F99" s="1" t="s">
        <v>419</v>
      </c>
      <c r="H99" s="12" t="s">
        <v>208</v>
      </c>
      <c r="I99" s="11" t="s">
        <v>743</v>
      </c>
      <c r="J99" s="12" t="s">
        <v>220</v>
      </c>
      <c r="K99" s="13">
        <v>8.3000000000000007</v>
      </c>
      <c r="L99" s="13">
        <v>72</v>
      </c>
      <c r="M99" s="12">
        <v>145</v>
      </c>
      <c r="N99" s="12">
        <v>13.3</v>
      </c>
      <c r="O99" s="19">
        <v>73.290000000000006</v>
      </c>
      <c r="Q99" t="s">
        <v>578</v>
      </c>
    </row>
    <row r="100" spans="3:17" x14ac:dyDescent="0.2">
      <c r="C100" s="1" t="s">
        <v>118</v>
      </c>
      <c r="D100" t="s">
        <v>324</v>
      </c>
      <c r="E100" t="s">
        <v>326</v>
      </c>
      <c r="F100" s="1" t="s">
        <v>420</v>
      </c>
      <c r="H100" s="12" t="s">
        <v>209</v>
      </c>
      <c r="I100" s="11" t="s">
        <v>744</v>
      </c>
      <c r="J100" s="12" t="s">
        <v>220</v>
      </c>
      <c r="K100" s="13">
        <v>9</v>
      </c>
      <c r="L100" s="12">
        <v>86.4</v>
      </c>
      <c r="M100" s="12">
        <v>170</v>
      </c>
      <c r="N100" s="12">
        <v>13.3</v>
      </c>
      <c r="O100" s="19">
        <v>92</v>
      </c>
      <c r="Q100" t="s">
        <v>579</v>
      </c>
    </row>
    <row r="101" spans="3:17" x14ac:dyDescent="0.2">
      <c r="C101" s="1" t="s">
        <v>119</v>
      </c>
      <c r="D101" t="s">
        <v>324</v>
      </c>
      <c r="E101" t="s">
        <v>326</v>
      </c>
      <c r="F101" s="1" t="s">
        <v>421</v>
      </c>
      <c r="H101" s="12" t="s">
        <v>210</v>
      </c>
      <c r="I101" s="11" t="s">
        <v>745</v>
      </c>
      <c r="J101" s="12" t="s">
        <v>220</v>
      </c>
      <c r="K101" s="13">
        <v>9.1</v>
      </c>
      <c r="L101" s="12">
        <v>101</v>
      </c>
      <c r="M101" s="12">
        <v>195</v>
      </c>
      <c r="N101" s="12">
        <v>13.3</v>
      </c>
      <c r="O101" s="19">
        <v>104.86</v>
      </c>
      <c r="Q101" t="s">
        <v>580</v>
      </c>
    </row>
    <row r="102" spans="3:17" x14ac:dyDescent="0.2">
      <c r="C102" s="1" t="s">
        <v>120</v>
      </c>
      <c r="D102" t="s">
        <v>324</v>
      </c>
      <c r="E102" t="s">
        <v>326</v>
      </c>
      <c r="F102" s="1" t="s">
        <v>422</v>
      </c>
      <c r="H102" s="12" t="s">
        <v>211</v>
      </c>
      <c r="I102" s="11" t="s">
        <v>746</v>
      </c>
      <c r="J102" s="12" t="s">
        <v>220</v>
      </c>
      <c r="K102" s="13">
        <v>10.9</v>
      </c>
      <c r="L102" s="12">
        <v>115</v>
      </c>
      <c r="M102" s="12">
        <v>215</v>
      </c>
      <c r="N102" s="12">
        <v>13.3</v>
      </c>
      <c r="O102" s="19">
        <v>120.74</v>
      </c>
      <c r="Q102" t="s">
        <v>581</v>
      </c>
    </row>
    <row r="103" spans="3:17" x14ac:dyDescent="0.2">
      <c r="C103" s="1" t="s">
        <v>121</v>
      </c>
      <c r="D103" t="s">
        <v>324</v>
      </c>
      <c r="E103" t="s">
        <v>326</v>
      </c>
      <c r="F103" s="1" t="s">
        <v>423</v>
      </c>
      <c r="H103" s="12" t="s">
        <v>212</v>
      </c>
      <c r="I103" s="11" t="s">
        <v>747</v>
      </c>
      <c r="J103" s="12" t="s">
        <v>220</v>
      </c>
      <c r="K103" s="13">
        <v>11.7</v>
      </c>
      <c r="L103" s="12">
        <v>129</v>
      </c>
      <c r="M103" s="12">
        <v>230</v>
      </c>
      <c r="N103" s="12">
        <v>13.3</v>
      </c>
      <c r="O103" s="19">
        <v>137.97</v>
      </c>
      <c r="Q103" t="s">
        <v>582</v>
      </c>
    </row>
    <row r="104" spans="3:17" x14ac:dyDescent="0.2">
      <c r="C104" s="1" t="s">
        <v>122</v>
      </c>
      <c r="D104" t="s">
        <v>324</v>
      </c>
      <c r="E104" t="s">
        <v>326</v>
      </c>
      <c r="F104" s="1" t="s">
        <v>424</v>
      </c>
      <c r="H104" s="12" t="s">
        <v>213</v>
      </c>
      <c r="I104" s="11" t="s">
        <v>748</v>
      </c>
      <c r="J104" s="12" t="s">
        <v>220</v>
      </c>
      <c r="K104" s="13">
        <v>11.8</v>
      </c>
      <c r="L104" s="12">
        <v>144</v>
      </c>
      <c r="M104" s="12">
        <v>260</v>
      </c>
      <c r="N104" s="12">
        <v>13.3</v>
      </c>
      <c r="O104" s="19">
        <v>155.62</v>
      </c>
      <c r="Q104" t="s">
        <v>583</v>
      </c>
    </row>
    <row r="105" spans="3:17" x14ac:dyDescent="0.2">
      <c r="C105" s="1" t="s">
        <v>123</v>
      </c>
      <c r="D105" t="s">
        <v>324</v>
      </c>
      <c r="E105" t="s">
        <v>326</v>
      </c>
      <c r="F105" s="1" t="s">
        <v>425</v>
      </c>
      <c r="H105" s="12" t="s">
        <v>214</v>
      </c>
      <c r="I105" s="11" t="s">
        <v>749</v>
      </c>
      <c r="J105" s="12" t="s">
        <v>220</v>
      </c>
      <c r="K105" s="13">
        <v>12.4</v>
      </c>
      <c r="L105" s="12">
        <v>173</v>
      </c>
      <c r="M105" s="12">
        <v>310</v>
      </c>
      <c r="N105" s="12">
        <v>13.3</v>
      </c>
      <c r="O105" s="19">
        <v>179.67</v>
      </c>
      <c r="Q105" t="s">
        <v>584</v>
      </c>
    </row>
    <row r="106" spans="3:17" x14ac:dyDescent="0.2">
      <c r="C106" s="1" t="s">
        <v>199</v>
      </c>
      <c r="D106" t="s">
        <v>324</v>
      </c>
      <c r="E106" t="s">
        <v>326</v>
      </c>
      <c r="F106" s="1" t="s">
        <v>426</v>
      </c>
      <c r="H106" s="12" t="s">
        <v>215</v>
      </c>
      <c r="I106" s="11" t="s">
        <v>750</v>
      </c>
      <c r="J106" s="12" t="s">
        <v>220</v>
      </c>
      <c r="K106" s="13">
        <v>12.9</v>
      </c>
      <c r="L106" s="12">
        <v>202</v>
      </c>
      <c r="M106" s="12">
        <v>360</v>
      </c>
      <c r="N106" s="12">
        <v>13.3</v>
      </c>
      <c r="O106" s="19">
        <v>212.53</v>
      </c>
      <c r="Q106" t="s">
        <v>585</v>
      </c>
    </row>
    <row r="107" spans="3:17" x14ac:dyDescent="0.2">
      <c r="C107" s="1" t="s">
        <v>200</v>
      </c>
      <c r="D107" t="s">
        <v>324</v>
      </c>
      <c r="E107" t="s">
        <v>326</v>
      </c>
      <c r="F107" s="1" t="s">
        <v>427</v>
      </c>
      <c r="H107" s="12" t="s">
        <v>216</v>
      </c>
      <c r="I107" s="11" t="s">
        <v>751</v>
      </c>
      <c r="J107" s="12" t="s">
        <v>220</v>
      </c>
      <c r="K107" s="13">
        <v>13.8</v>
      </c>
      <c r="L107" s="12">
        <v>230</v>
      </c>
      <c r="M107" s="12">
        <v>390</v>
      </c>
      <c r="N107" s="12">
        <v>13.3</v>
      </c>
      <c r="O107" s="19">
        <v>251.92</v>
      </c>
      <c r="Q107" t="s">
        <v>586</v>
      </c>
    </row>
    <row r="108" spans="3:17" x14ac:dyDescent="0.2">
      <c r="C108" s="1" t="s">
        <v>201</v>
      </c>
      <c r="D108" t="s">
        <v>324</v>
      </c>
      <c r="E108" t="s">
        <v>326</v>
      </c>
      <c r="F108" s="1" t="s">
        <v>428</v>
      </c>
      <c r="H108" s="12" t="s">
        <v>217</v>
      </c>
      <c r="I108" s="11" t="s">
        <v>752</v>
      </c>
      <c r="J108" s="12" t="s">
        <v>220</v>
      </c>
      <c r="K108" s="13">
        <v>14.8</v>
      </c>
      <c r="L108" s="12">
        <v>259</v>
      </c>
      <c r="M108" s="12">
        <v>420</v>
      </c>
      <c r="N108" s="12">
        <v>13.3</v>
      </c>
      <c r="O108" s="19">
        <v>283.94</v>
      </c>
      <c r="Q108" t="s">
        <v>587</v>
      </c>
    </row>
    <row r="109" spans="3:17" x14ac:dyDescent="0.2">
      <c r="C109" s="1" t="s">
        <v>202</v>
      </c>
      <c r="D109" t="s">
        <v>324</v>
      </c>
      <c r="E109" t="s">
        <v>326</v>
      </c>
      <c r="F109" s="1" t="s">
        <v>429</v>
      </c>
      <c r="H109" s="12" t="s">
        <v>218</v>
      </c>
      <c r="I109" s="11" t="s">
        <v>753</v>
      </c>
      <c r="J109" s="12" t="s">
        <v>220</v>
      </c>
      <c r="K109" s="13">
        <v>14.9</v>
      </c>
      <c r="L109" s="12">
        <v>279</v>
      </c>
      <c r="M109" s="12">
        <v>440</v>
      </c>
      <c r="N109" s="12">
        <v>13.3</v>
      </c>
      <c r="O109" s="19">
        <f>O108*19/18</f>
        <v>299.71444444444444</v>
      </c>
      <c r="Q109" t="s">
        <v>588</v>
      </c>
    </row>
    <row r="110" spans="3:17" x14ac:dyDescent="0.2">
      <c r="C110" s="1" t="s">
        <v>203</v>
      </c>
      <c r="D110" t="s">
        <v>324</v>
      </c>
      <c r="E110" t="s">
        <v>326</v>
      </c>
      <c r="F110" s="1" t="s">
        <v>430</v>
      </c>
      <c r="H110" s="12" t="s">
        <v>219</v>
      </c>
      <c r="I110" s="11" t="s">
        <v>754</v>
      </c>
      <c r="J110" s="12" t="s">
        <v>220</v>
      </c>
      <c r="K110" s="13">
        <v>16</v>
      </c>
      <c r="L110" s="12">
        <v>302</v>
      </c>
      <c r="M110" s="12">
        <v>535</v>
      </c>
      <c r="N110" s="12">
        <v>13.3</v>
      </c>
      <c r="O110" s="19">
        <v>321.95999999999998</v>
      </c>
      <c r="Q110" t="s">
        <v>589</v>
      </c>
    </row>
    <row r="111" spans="3:17" x14ac:dyDescent="0.2">
      <c r="C111" s="1" t="s">
        <v>221</v>
      </c>
      <c r="D111" t="s">
        <v>324</v>
      </c>
      <c r="E111" t="s">
        <v>326</v>
      </c>
      <c r="F111" s="1" t="s">
        <v>431</v>
      </c>
      <c r="H111" s="12" t="s">
        <v>265</v>
      </c>
      <c r="I111" s="11" t="s">
        <v>755</v>
      </c>
      <c r="J111" s="12" t="s">
        <v>220</v>
      </c>
      <c r="K111" s="13">
        <v>17.2</v>
      </c>
      <c r="L111" s="12">
        <v>360</v>
      </c>
      <c r="M111" s="12">
        <v>600</v>
      </c>
      <c r="N111" s="12">
        <v>13.3</v>
      </c>
      <c r="O111" s="19">
        <v>399.4</v>
      </c>
      <c r="Q111" t="s">
        <v>590</v>
      </c>
    </row>
    <row r="112" spans="3:17" x14ac:dyDescent="0.2">
      <c r="C112" s="1" t="s">
        <v>222</v>
      </c>
      <c r="D112" t="s">
        <v>324</v>
      </c>
      <c r="E112" t="s">
        <v>326</v>
      </c>
      <c r="F112" s="1" t="s">
        <v>432</v>
      </c>
      <c r="H112" s="12" t="s">
        <v>266</v>
      </c>
      <c r="I112" s="11" t="s">
        <v>756</v>
      </c>
      <c r="J112" s="12" t="s">
        <v>220</v>
      </c>
      <c r="K112" s="13">
        <v>18.8</v>
      </c>
      <c r="L112" s="12">
        <v>432</v>
      </c>
      <c r="M112" s="12">
        <v>660</v>
      </c>
      <c r="N112" s="12">
        <v>13.3</v>
      </c>
      <c r="O112" s="19">
        <v>438</v>
      </c>
      <c r="Q112" t="s">
        <v>591</v>
      </c>
    </row>
    <row r="113" spans="3:17" x14ac:dyDescent="0.2">
      <c r="C113" s="1" t="s">
        <v>223</v>
      </c>
      <c r="D113" t="s">
        <v>324</v>
      </c>
      <c r="E113" t="s">
        <v>326</v>
      </c>
      <c r="F113" s="1" t="s">
        <v>433</v>
      </c>
      <c r="H113" s="12" t="s">
        <v>267</v>
      </c>
      <c r="I113" s="11" t="s">
        <v>757</v>
      </c>
      <c r="J113" s="12" t="s">
        <v>220</v>
      </c>
      <c r="K113" s="13">
        <v>19.8</v>
      </c>
      <c r="L113" s="12">
        <v>490</v>
      </c>
      <c r="M113" s="12">
        <v>730</v>
      </c>
      <c r="N113" s="12">
        <v>13.3</v>
      </c>
      <c r="O113" s="19">
        <v>562.38</v>
      </c>
      <c r="Q113" t="s">
        <v>592</v>
      </c>
    </row>
    <row r="114" spans="3:17" x14ac:dyDescent="0.2">
      <c r="C114" s="1" t="s">
        <v>224</v>
      </c>
      <c r="D114" t="s">
        <v>324</v>
      </c>
      <c r="E114" t="s">
        <v>326</v>
      </c>
      <c r="F114" s="1" t="s">
        <v>434</v>
      </c>
      <c r="H114" s="12" t="s">
        <v>268</v>
      </c>
      <c r="I114" s="11" t="s">
        <v>758</v>
      </c>
      <c r="J114" s="12" t="s">
        <v>220</v>
      </c>
      <c r="K114" s="13">
        <v>21.6</v>
      </c>
      <c r="L114" s="12">
        <v>576</v>
      </c>
      <c r="M114" s="12">
        <v>895</v>
      </c>
      <c r="N114" s="12">
        <v>13.3</v>
      </c>
      <c r="O114" s="19">
        <f>O115/42*40</f>
        <v>626.27619047619055</v>
      </c>
      <c r="Q114" t="s">
        <v>593</v>
      </c>
    </row>
    <row r="115" spans="3:17" x14ac:dyDescent="0.2">
      <c r="C115" s="1" t="s">
        <v>225</v>
      </c>
      <c r="D115" t="s">
        <v>324</v>
      </c>
      <c r="E115" t="s">
        <v>326</v>
      </c>
      <c r="F115" s="1" t="s">
        <v>435</v>
      </c>
      <c r="H115" s="12" t="s">
        <v>269</v>
      </c>
      <c r="I115" s="11" t="s">
        <v>759</v>
      </c>
      <c r="J115" s="12" t="s">
        <v>220</v>
      </c>
      <c r="K115" s="13">
        <v>21.6</v>
      </c>
      <c r="L115" s="12">
        <v>605</v>
      </c>
      <c r="M115" s="12">
        <v>900</v>
      </c>
      <c r="N115" s="12">
        <v>13.3</v>
      </c>
      <c r="O115" s="19">
        <v>657.59</v>
      </c>
      <c r="Q115" t="s">
        <v>594</v>
      </c>
    </row>
    <row r="116" spans="3:17" x14ac:dyDescent="0.2">
      <c r="C116" s="1" t="s">
        <v>226</v>
      </c>
      <c r="D116" t="s">
        <v>324</v>
      </c>
      <c r="E116" t="s">
        <v>326</v>
      </c>
      <c r="F116" s="1" t="s">
        <v>436</v>
      </c>
      <c r="H116" s="12" t="s">
        <v>270</v>
      </c>
      <c r="I116" s="11" t="s">
        <v>760</v>
      </c>
      <c r="J116" s="12" t="s">
        <v>220</v>
      </c>
      <c r="K116" s="13">
        <v>23.8</v>
      </c>
      <c r="L116" s="12">
        <v>720</v>
      </c>
      <c r="M116" s="12">
        <v>1060</v>
      </c>
      <c r="N116" s="12">
        <v>13.3</v>
      </c>
      <c r="O116" s="19">
        <v>951.27</v>
      </c>
      <c r="Q116" t="s">
        <v>595</v>
      </c>
    </row>
    <row r="117" spans="3:17" x14ac:dyDescent="0.2">
      <c r="C117" s="1" t="s">
        <v>227</v>
      </c>
      <c r="D117" t="s">
        <v>324</v>
      </c>
      <c r="E117" t="s">
        <v>326</v>
      </c>
      <c r="F117" s="1" t="s">
        <v>437</v>
      </c>
      <c r="H117" s="12" t="s">
        <v>271</v>
      </c>
      <c r="I117" s="11" t="s">
        <v>761</v>
      </c>
      <c r="J117" s="12" t="s">
        <v>220</v>
      </c>
      <c r="K117" s="13">
        <v>25.2</v>
      </c>
      <c r="L117" s="12">
        <v>806</v>
      </c>
      <c r="M117" s="12">
        <v>1200</v>
      </c>
      <c r="N117" s="12">
        <v>13.3</v>
      </c>
      <c r="O117" s="19">
        <v>1067</v>
      </c>
      <c r="Q117" t="s">
        <v>596</v>
      </c>
    </row>
    <row r="118" spans="3:17" x14ac:dyDescent="0.2">
      <c r="C118" s="1" t="s">
        <v>228</v>
      </c>
      <c r="D118" t="s">
        <v>324</v>
      </c>
      <c r="E118" t="s">
        <v>326</v>
      </c>
      <c r="F118" s="1" t="s">
        <v>438</v>
      </c>
      <c r="H118" s="12" t="s">
        <v>272</v>
      </c>
      <c r="I118" s="11" t="s">
        <v>762</v>
      </c>
      <c r="J118" s="12" t="s">
        <v>220</v>
      </c>
      <c r="K118" s="13">
        <v>25.6</v>
      </c>
      <c r="L118" s="12">
        <v>878</v>
      </c>
      <c r="M118" s="12">
        <v>1320</v>
      </c>
      <c r="N118" s="12">
        <v>13.3</v>
      </c>
      <c r="O118" s="19">
        <v>1181.8399999999999</v>
      </c>
      <c r="Q118" t="s">
        <v>597</v>
      </c>
    </row>
    <row r="119" spans="3:17" x14ac:dyDescent="0.2">
      <c r="C119" s="1" t="s">
        <v>229</v>
      </c>
      <c r="D119" t="s">
        <v>324</v>
      </c>
      <c r="E119" t="s">
        <v>326</v>
      </c>
      <c r="F119" s="1" t="s">
        <v>439</v>
      </c>
      <c r="H119" s="12" t="s">
        <v>273</v>
      </c>
      <c r="I119" s="11" t="s">
        <v>763</v>
      </c>
      <c r="J119" s="12" t="s">
        <v>220</v>
      </c>
      <c r="K119" s="13">
        <v>26.9</v>
      </c>
      <c r="L119" s="12">
        <v>936</v>
      </c>
      <c r="M119" s="12">
        <v>1440</v>
      </c>
      <c r="N119" s="12">
        <v>13.3</v>
      </c>
      <c r="O119" s="19" t="s">
        <v>904</v>
      </c>
      <c r="Q119" t="s">
        <v>598</v>
      </c>
    </row>
    <row r="120" spans="3:17" x14ac:dyDescent="0.2">
      <c r="C120" s="1" t="s">
        <v>230</v>
      </c>
      <c r="D120" t="s">
        <v>324</v>
      </c>
      <c r="E120" t="s">
        <v>326</v>
      </c>
      <c r="F120" s="1" t="s">
        <v>440</v>
      </c>
      <c r="H120" s="12" t="s">
        <v>274</v>
      </c>
      <c r="I120" s="11" t="s">
        <v>764</v>
      </c>
      <c r="J120" s="12" t="s">
        <v>220</v>
      </c>
      <c r="K120" s="13">
        <v>29.4</v>
      </c>
      <c r="L120" s="12">
        <v>1152</v>
      </c>
      <c r="M120" s="12">
        <v>1750</v>
      </c>
      <c r="N120" s="12">
        <v>13.3</v>
      </c>
      <c r="O120" s="19" t="s">
        <v>904</v>
      </c>
      <c r="Q120" t="s">
        <v>599</v>
      </c>
    </row>
    <row r="121" spans="3:17" x14ac:dyDescent="0.2">
      <c r="C121" s="1" t="s">
        <v>231</v>
      </c>
      <c r="D121" t="s">
        <v>324</v>
      </c>
      <c r="E121" t="s">
        <v>326</v>
      </c>
      <c r="F121" s="1" t="s">
        <v>441</v>
      </c>
      <c r="H121" s="12" t="s">
        <v>275</v>
      </c>
      <c r="I121" s="11" t="s">
        <v>765</v>
      </c>
      <c r="J121" s="12" t="s">
        <v>220</v>
      </c>
      <c r="K121" s="13">
        <v>32.799999999999997</v>
      </c>
      <c r="L121" s="12">
        <v>1440</v>
      </c>
      <c r="M121" s="12">
        <v>2355</v>
      </c>
      <c r="N121" s="12">
        <v>13.3</v>
      </c>
      <c r="O121" s="19" t="s">
        <v>904</v>
      </c>
      <c r="Q121" t="s">
        <v>600</v>
      </c>
    </row>
    <row r="122" spans="3:17" ht="3.6" customHeight="1" x14ac:dyDescent="0.2">
      <c r="H122" s="15"/>
      <c r="I122" s="16"/>
      <c r="J122" s="15"/>
      <c r="K122" s="17"/>
      <c r="L122" s="15"/>
      <c r="M122" s="15"/>
      <c r="N122" s="15"/>
      <c r="O122" s="20"/>
    </row>
    <row r="123" spans="3:17" x14ac:dyDescent="0.2">
      <c r="C123" s="1" t="s">
        <v>124</v>
      </c>
      <c r="D123" t="s">
        <v>323</v>
      </c>
      <c r="E123" t="s">
        <v>325</v>
      </c>
      <c r="F123" s="1" t="s">
        <v>331</v>
      </c>
      <c r="H123" s="12" t="s">
        <v>276</v>
      </c>
      <c r="I123" s="11" t="s">
        <v>766</v>
      </c>
      <c r="J123" s="12" t="s">
        <v>316</v>
      </c>
      <c r="K123" s="13">
        <v>7.7</v>
      </c>
      <c r="L123" s="13">
        <v>48</v>
      </c>
      <c r="M123" s="12">
        <v>120</v>
      </c>
      <c r="N123" s="12">
        <v>7.98</v>
      </c>
      <c r="O123" s="19">
        <v>51.69</v>
      </c>
      <c r="Q123" t="s">
        <v>601</v>
      </c>
    </row>
    <row r="124" spans="3:17" x14ac:dyDescent="0.2">
      <c r="C124" s="1" t="s">
        <v>125</v>
      </c>
      <c r="D124" t="s">
        <v>324</v>
      </c>
      <c r="E124" t="s">
        <v>326</v>
      </c>
      <c r="F124" s="1" t="s">
        <v>442</v>
      </c>
      <c r="H124" s="12" t="s">
        <v>277</v>
      </c>
      <c r="I124" s="11" t="s">
        <v>767</v>
      </c>
      <c r="J124" s="12" t="s">
        <v>316</v>
      </c>
      <c r="K124" s="13">
        <v>8.3000000000000007</v>
      </c>
      <c r="L124" s="13">
        <v>72</v>
      </c>
      <c r="M124" s="12">
        <v>170</v>
      </c>
      <c r="N124" s="12">
        <v>7.98</v>
      </c>
      <c r="O124" s="19">
        <v>74.2</v>
      </c>
      <c r="Q124" t="s">
        <v>602</v>
      </c>
    </row>
    <row r="125" spans="3:17" x14ac:dyDescent="0.2">
      <c r="C125" s="1" t="s">
        <v>126</v>
      </c>
      <c r="D125" t="s">
        <v>324</v>
      </c>
      <c r="E125" t="s">
        <v>326</v>
      </c>
      <c r="F125" s="1" t="s">
        <v>443</v>
      </c>
      <c r="H125" s="12" t="s">
        <v>278</v>
      </c>
      <c r="I125" s="11" t="s">
        <v>768</v>
      </c>
      <c r="J125" s="12" t="s">
        <v>316</v>
      </c>
      <c r="K125" s="13">
        <v>9.1</v>
      </c>
      <c r="L125" s="13">
        <v>96</v>
      </c>
      <c r="M125" s="12">
        <v>180</v>
      </c>
      <c r="N125" s="12">
        <v>7.98</v>
      </c>
      <c r="O125" s="19">
        <v>97.12</v>
      </c>
      <c r="Q125" t="s">
        <v>603</v>
      </c>
    </row>
    <row r="126" spans="3:17" x14ac:dyDescent="0.2">
      <c r="C126" s="1" t="s">
        <v>127</v>
      </c>
      <c r="D126" t="s">
        <v>324</v>
      </c>
      <c r="E126" t="s">
        <v>326</v>
      </c>
      <c r="F126" s="1" t="s">
        <v>444</v>
      </c>
      <c r="H126" s="12" t="s">
        <v>279</v>
      </c>
      <c r="I126" s="11" t="s">
        <v>769</v>
      </c>
      <c r="J126" s="12" t="s">
        <v>316</v>
      </c>
      <c r="K126" s="13">
        <v>10.199999999999999</v>
      </c>
      <c r="L126" s="12">
        <v>120</v>
      </c>
      <c r="M126" s="12">
        <v>190</v>
      </c>
      <c r="N126" s="12">
        <v>7.98</v>
      </c>
      <c r="O126" s="19">
        <v>123</v>
      </c>
      <c r="Q126" t="s">
        <v>604</v>
      </c>
    </row>
    <row r="127" spans="3:17" x14ac:dyDescent="0.2">
      <c r="C127" s="1" t="s">
        <v>128</v>
      </c>
      <c r="D127" t="s">
        <v>324</v>
      </c>
      <c r="E127" t="s">
        <v>326</v>
      </c>
      <c r="F127" s="1" t="s">
        <v>445</v>
      </c>
      <c r="H127" s="12" t="s">
        <v>280</v>
      </c>
      <c r="I127" s="11" t="s">
        <v>770</v>
      </c>
      <c r="J127" s="12" t="s">
        <v>316</v>
      </c>
      <c r="K127" s="13">
        <v>11.2</v>
      </c>
      <c r="L127" s="12">
        <v>168</v>
      </c>
      <c r="M127" s="12">
        <v>280</v>
      </c>
      <c r="N127" s="12">
        <v>7.98</v>
      </c>
      <c r="O127" s="19">
        <v>175.12</v>
      </c>
      <c r="Q127" t="s">
        <v>605</v>
      </c>
    </row>
    <row r="128" spans="3:17" x14ac:dyDescent="0.2">
      <c r="C128" s="1" t="s">
        <v>129</v>
      </c>
      <c r="D128" t="s">
        <v>324</v>
      </c>
      <c r="E128" t="s">
        <v>326</v>
      </c>
      <c r="F128" s="1" t="s">
        <v>446</v>
      </c>
      <c r="H128" s="12" t="s">
        <v>281</v>
      </c>
      <c r="I128" s="11" t="s">
        <v>771</v>
      </c>
      <c r="J128" s="12" t="s">
        <v>316</v>
      </c>
      <c r="K128" s="13">
        <v>13.1</v>
      </c>
      <c r="L128" s="12">
        <v>192</v>
      </c>
      <c r="M128" s="12">
        <v>325</v>
      </c>
      <c r="N128" s="12">
        <v>7.98</v>
      </c>
      <c r="O128" s="19">
        <v>188.45</v>
      </c>
      <c r="Q128" t="s">
        <v>606</v>
      </c>
    </row>
    <row r="129" spans="3:17" x14ac:dyDescent="0.2">
      <c r="C129" s="1" t="s">
        <v>130</v>
      </c>
      <c r="D129" t="s">
        <v>324</v>
      </c>
      <c r="E129" t="s">
        <v>326</v>
      </c>
      <c r="F129" s="1" t="s">
        <v>447</v>
      </c>
      <c r="H129" s="12" t="s">
        <v>282</v>
      </c>
      <c r="I129" s="11" t="s">
        <v>772</v>
      </c>
      <c r="J129" s="12" t="s">
        <v>316</v>
      </c>
      <c r="K129" s="13">
        <v>15.1</v>
      </c>
      <c r="L129" s="12">
        <v>288</v>
      </c>
      <c r="M129" s="12">
        <v>510</v>
      </c>
      <c r="N129" s="12">
        <v>7.98</v>
      </c>
      <c r="O129" s="19">
        <v>296.24</v>
      </c>
      <c r="Q129" t="s">
        <v>607</v>
      </c>
    </row>
    <row r="130" spans="3:17" x14ac:dyDescent="0.2">
      <c r="C130" s="1" t="s">
        <v>232</v>
      </c>
      <c r="D130" t="s">
        <v>324</v>
      </c>
      <c r="E130" t="s">
        <v>326</v>
      </c>
      <c r="F130" s="1" t="s">
        <v>448</v>
      </c>
      <c r="H130" s="12" t="s">
        <v>283</v>
      </c>
      <c r="I130" s="11" t="s">
        <v>773</v>
      </c>
      <c r="J130" s="12" t="s">
        <v>316</v>
      </c>
      <c r="K130" s="13">
        <v>16.100000000000001</v>
      </c>
      <c r="L130" s="12">
        <v>336</v>
      </c>
      <c r="M130" s="12">
        <v>600</v>
      </c>
      <c r="N130" s="12">
        <v>7.98</v>
      </c>
      <c r="O130" s="19">
        <v>321.33</v>
      </c>
      <c r="Q130" t="s">
        <v>608</v>
      </c>
    </row>
    <row r="131" spans="3:17" x14ac:dyDescent="0.2">
      <c r="C131" s="1" t="s">
        <v>233</v>
      </c>
      <c r="D131" t="s">
        <v>324</v>
      </c>
      <c r="E131" t="s">
        <v>326</v>
      </c>
      <c r="F131" s="1" t="s">
        <v>449</v>
      </c>
      <c r="H131" s="12" t="s">
        <v>284</v>
      </c>
      <c r="I131" s="11" t="s">
        <v>774</v>
      </c>
      <c r="J131" s="12" t="s">
        <v>316</v>
      </c>
      <c r="K131" s="13">
        <v>18.100000000000001</v>
      </c>
      <c r="L131" s="12">
        <v>432</v>
      </c>
      <c r="M131" s="12">
        <v>870</v>
      </c>
      <c r="N131" s="12">
        <v>7.98</v>
      </c>
      <c r="O131" s="19">
        <v>425.57</v>
      </c>
      <c r="Q131" t="s">
        <v>609</v>
      </c>
    </row>
    <row r="132" spans="3:17" x14ac:dyDescent="0.2">
      <c r="C132" s="1" t="s">
        <v>234</v>
      </c>
      <c r="D132" t="s">
        <v>324</v>
      </c>
      <c r="E132" t="s">
        <v>326</v>
      </c>
      <c r="F132" s="1" t="s">
        <v>450</v>
      </c>
      <c r="H132" s="12" t="s">
        <v>285</v>
      </c>
      <c r="I132" s="11" t="s">
        <v>775</v>
      </c>
      <c r="J132" s="12" t="s">
        <v>316</v>
      </c>
      <c r="K132" s="13">
        <v>21.2</v>
      </c>
      <c r="L132" s="12">
        <v>600</v>
      </c>
      <c r="M132" s="12">
        <v>1140</v>
      </c>
      <c r="N132" s="12">
        <v>7.98</v>
      </c>
      <c r="O132" s="19">
        <v>617.36</v>
      </c>
      <c r="Q132" t="s">
        <v>610</v>
      </c>
    </row>
    <row r="133" spans="3:17" x14ac:dyDescent="0.2">
      <c r="C133" s="1" t="s">
        <v>235</v>
      </c>
      <c r="D133" t="s">
        <v>324</v>
      </c>
      <c r="E133" t="s">
        <v>326</v>
      </c>
      <c r="F133" s="1" t="s">
        <v>451</v>
      </c>
      <c r="H133" s="12" t="s">
        <v>286</v>
      </c>
      <c r="I133" s="11" t="s">
        <v>776</v>
      </c>
      <c r="J133" s="12" t="s">
        <v>316</v>
      </c>
      <c r="K133" s="13">
        <v>24</v>
      </c>
      <c r="L133" s="12">
        <v>768</v>
      </c>
      <c r="M133" s="12">
        <v>1205</v>
      </c>
      <c r="N133" s="12">
        <v>7.98</v>
      </c>
      <c r="O133" s="19" t="s">
        <v>904</v>
      </c>
      <c r="Q133" t="s">
        <v>611</v>
      </c>
    </row>
    <row r="134" spans="3:17" x14ac:dyDescent="0.2">
      <c r="C134" s="1" t="s">
        <v>236</v>
      </c>
      <c r="D134" t="s">
        <v>324</v>
      </c>
      <c r="E134" t="s">
        <v>326</v>
      </c>
      <c r="F134" s="1" t="s">
        <v>452</v>
      </c>
      <c r="H134" s="12" t="s">
        <v>287</v>
      </c>
      <c r="I134" s="11" t="s">
        <v>777</v>
      </c>
      <c r="J134" s="12" t="s">
        <v>316</v>
      </c>
      <c r="K134" s="13">
        <v>24.8</v>
      </c>
      <c r="L134" s="12">
        <v>816</v>
      </c>
      <c r="M134" s="12">
        <v>1320</v>
      </c>
      <c r="N134" s="12">
        <v>7.98</v>
      </c>
      <c r="O134" s="19" t="s">
        <v>904</v>
      </c>
      <c r="Q134" t="s">
        <v>612</v>
      </c>
    </row>
    <row r="135" spans="3:17" x14ac:dyDescent="0.2">
      <c r="C135" s="1" t="s">
        <v>237</v>
      </c>
      <c r="D135" t="s">
        <v>324</v>
      </c>
      <c r="E135" t="s">
        <v>326</v>
      </c>
      <c r="F135" s="1" t="s">
        <v>453</v>
      </c>
      <c r="H135" s="12" t="s">
        <v>288</v>
      </c>
      <c r="I135" s="11" t="s">
        <v>778</v>
      </c>
      <c r="J135" s="12" t="s">
        <v>316</v>
      </c>
      <c r="K135" s="13">
        <v>27.5</v>
      </c>
      <c r="L135" s="12">
        <v>1008</v>
      </c>
      <c r="M135" s="12">
        <v>1610</v>
      </c>
      <c r="N135" s="12">
        <v>7.98</v>
      </c>
      <c r="O135" s="19" t="s">
        <v>904</v>
      </c>
      <c r="Q135" t="s">
        <v>613</v>
      </c>
    </row>
    <row r="136" spans="3:17" x14ac:dyDescent="0.2">
      <c r="C136" s="1" t="s">
        <v>238</v>
      </c>
      <c r="D136" t="s">
        <v>324</v>
      </c>
      <c r="E136" t="s">
        <v>326</v>
      </c>
      <c r="F136" s="1" t="s">
        <v>454</v>
      </c>
      <c r="H136" s="12" t="s">
        <v>289</v>
      </c>
      <c r="I136" s="11" t="s">
        <v>779</v>
      </c>
      <c r="J136" s="12" t="s">
        <v>316</v>
      </c>
      <c r="K136" s="13">
        <v>29.8</v>
      </c>
      <c r="L136" s="12">
        <v>1200</v>
      </c>
      <c r="M136" s="12">
        <v>1885</v>
      </c>
      <c r="N136" s="12">
        <v>7.98</v>
      </c>
      <c r="O136" s="19" t="s">
        <v>904</v>
      </c>
      <c r="Q136" t="s">
        <v>614</v>
      </c>
    </row>
    <row r="137" spans="3:17" x14ac:dyDescent="0.2">
      <c r="C137" s="1" t="s">
        <v>239</v>
      </c>
      <c r="D137" t="s">
        <v>324</v>
      </c>
      <c r="E137" t="s">
        <v>326</v>
      </c>
      <c r="F137" s="1" t="s">
        <v>455</v>
      </c>
      <c r="H137" s="12" t="s">
        <v>290</v>
      </c>
      <c r="I137" s="11" t="s">
        <v>780</v>
      </c>
      <c r="J137" s="12" t="s">
        <v>316</v>
      </c>
      <c r="K137" s="13">
        <v>32.1</v>
      </c>
      <c r="L137" s="12">
        <v>1464</v>
      </c>
      <c r="M137" s="12">
        <v>2475</v>
      </c>
      <c r="N137" s="12">
        <v>7.98</v>
      </c>
      <c r="O137" s="19" t="s">
        <v>904</v>
      </c>
      <c r="Q137" t="s">
        <v>615</v>
      </c>
    </row>
    <row r="138" spans="3:17" x14ac:dyDescent="0.2">
      <c r="C138" s="1" t="s">
        <v>240</v>
      </c>
      <c r="D138" t="s">
        <v>324</v>
      </c>
      <c r="E138" t="s">
        <v>326</v>
      </c>
      <c r="F138" s="1" t="s">
        <v>456</v>
      </c>
      <c r="H138" s="12" t="s">
        <v>291</v>
      </c>
      <c r="I138" s="11" t="s">
        <v>781</v>
      </c>
      <c r="J138" s="12" t="s">
        <v>316</v>
      </c>
      <c r="K138" s="13">
        <v>41.1</v>
      </c>
      <c r="L138" s="12">
        <v>2400</v>
      </c>
      <c r="M138" s="12">
        <v>4005</v>
      </c>
      <c r="N138" s="12">
        <v>7.98</v>
      </c>
      <c r="O138" s="19" t="s">
        <v>904</v>
      </c>
      <c r="Q138" t="s">
        <v>616</v>
      </c>
    </row>
    <row r="139" spans="3:17" ht="3.6" customHeight="1" x14ac:dyDescent="0.2">
      <c r="H139" s="15"/>
      <c r="I139" s="16"/>
      <c r="J139" s="15"/>
      <c r="K139" s="17"/>
      <c r="L139" s="15"/>
      <c r="M139" s="15"/>
      <c r="N139" s="15"/>
      <c r="O139" s="20"/>
    </row>
    <row r="140" spans="3:17" x14ac:dyDescent="0.2">
      <c r="C140" s="1" t="s">
        <v>241</v>
      </c>
      <c r="D140" t="s">
        <v>323</v>
      </c>
      <c r="E140" t="s">
        <v>325</v>
      </c>
      <c r="F140" s="1" t="s">
        <v>332</v>
      </c>
      <c r="H140" s="12" t="s">
        <v>292</v>
      </c>
      <c r="I140" s="11" t="s">
        <v>782</v>
      </c>
      <c r="J140" s="12" t="s">
        <v>317</v>
      </c>
      <c r="K140" s="13">
        <v>9.3000000000000007</v>
      </c>
      <c r="L140" s="13">
        <v>77</v>
      </c>
      <c r="M140" s="12">
        <v>175</v>
      </c>
      <c r="N140" s="12">
        <v>4.95</v>
      </c>
      <c r="O140" s="19">
        <v>89</v>
      </c>
      <c r="Q140" t="s">
        <v>617</v>
      </c>
    </row>
    <row r="141" spans="3:17" x14ac:dyDescent="0.2">
      <c r="C141" s="1" t="s">
        <v>242</v>
      </c>
      <c r="D141" t="s">
        <v>324</v>
      </c>
      <c r="E141" t="s">
        <v>326</v>
      </c>
      <c r="F141" s="1" t="s">
        <v>457</v>
      </c>
      <c r="H141" s="12" t="s">
        <v>293</v>
      </c>
      <c r="I141" s="11" t="s">
        <v>783</v>
      </c>
      <c r="J141" s="12" t="s">
        <v>317</v>
      </c>
      <c r="K141" s="13">
        <v>10.199999999999999</v>
      </c>
      <c r="L141" s="12">
        <v>115</v>
      </c>
      <c r="M141" s="12">
        <v>210</v>
      </c>
      <c r="N141" s="12">
        <v>4.95</v>
      </c>
      <c r="O141" s="19">
        <v>112.71</v>
      </c>
      <c r="Q141" t="s">
        <v>618</v>
      </c>
    </row>
    <row r="142" spans="3:17" x14ac:dyDescent="0.2">
      <c r="C142" s="1" t="s">
        <v>243</v>
      </c>
      <c r="D142" t="s">
        <v>324</v>
      </c>
      <c r="E142" t="s">
        <v>326</v>
      </c>
      <c r="F142" s="1" t="s">
        <v>458</v>
      </c>
      <c r="H142" s="12" t="s">
        <v>294</v>
      </c>
      <c r="I142" s="11" t="s">
        <v>784</v>
      </c>
      <c r="J142" s="12" t="s">
        <v>317</v>
      </c>
      <c r="K142" s="13">
        <v>11.1</v>
      </c>
      <c r="L142" s="12">
        <v>154</v>
      </c>
      <c r="M142" s="12">
        <v>270</v>
      </c>
      <c r="N142" s="12">
        <v>4.95</v>
      </c>
      <c r="O142" s="19">
        <v>155.31</v>
      </c>
      <c r="Q142" t="s">
        <v>619</v>
      </c>
    </row>
    <row r="143" spans="3:17" x14ac:dyDescent="0.2">
      <c r="C143" s="1" t="s">
        <v>244</v>
      </c>
      <c r="D143" t="s">
        <v>324</v>
      </c>
      <c r="E143" t="s">
        <v>326</v>
      </c>
      <c r="F143" s="1" t="s">
        <v>459</v>
      </c>
      <c r="H143" s="12" t="s">
        <v>295</v>
      </c>
      <c r="I143" s="11" t="s">
        <v>785</v>
      </c>
      <c r="J143" s="12" t="s">
        <v>317</v>
      </c>
      <c r="K143" s="13">
        <v>12.4</v>
      </c>
      <c r="L143" s="12">
        <v>192</v>
      </c>
      <c r="M143" s="12">
        <v>300</v>
      </c>
      <c r="N143" s="12">
        <v>4.95</v>
      </c>
      <c r="O143" s="19">
        <v>182.51</v>
      </c>
      <c r="Q143" t="s">
        <v>620</v>
      </c>
    </row>
    <row r="144" spans="3:17" x14ac:dyDescent="0.2">
      <c r="C144" s="1" t="s">
        <v>245</v>
      </c>
      <c r="D144" t="s">
        <v>324</v>
      </c>
      <c r="E144" t="s">
        <v>326</v>
      </c>
      <c r="F144" s="1" t="s">
        <v>460</v>
      </c>
      <c r="H144" s="12" t="s">
        <v>296</v>
      </c>
      <c r="I144" s="11" t="s">
        <v>786</v>
      </c>
      <c r="J144" s="12" t="s">
        <v>317</v>
      </c>
      <c r="K144" s="13">
        <v>13.7</v>
      </c>
      <c r="L144" s="12">
        <v>269</v>
      </c>
      <c r="M144" s="12">
        <v>410</v>
      </c>
      <c r="N144" s="12">
        <v>4.95</v>
      </c>
      <c r="O144" s="19">
        <v>273.11</v>
      </c>
      <c r="Q144" t="s">
        <v>621</v>
      </c>
    </row>
    <row r="145" spans="3:17" x14ac:dyDescent="0.2">
      <c r="C145" s="1" t="s">
        <v>246</v>
      </c>
      <c r="D145" t="s">
        <v>324</v>
      </c>
      <c r="E145" t="s">
        <v>326</v>
      </c>
      <c r="F145" s="1" t="s">
        <v>461</v>
      </c>
      <c r="H145" s="12" t="s">
        <v>297</v>
      </c>
      <c r="I145" s="11" t="s">
        <v>787</v>
      </c>
      <c r="J145" s="12" t="s">
        <v>317</v>
      </c>
      <c r="K145" s="13">
        <v>18.100000000000001</v>
      </c>
      <c r="L145" s="12">
        <v>461</v>
      </c>
      <c r="M145" s="12">
        <v>710</v>
      </c>
      <c r="N145" s="12">
        <v>4.95</v>
      </c>
      <c r="O145" s="19">
        <v>480.56</v>
      </c>
      <c r="Q145" t="s">
        <v>622</v>
      </c>
    </row>
    <row r="146" spans="3:17" ht="3.6" customHeight="1" x14ac:dyDescent="0.2">
      <c r="H146" s="15"/>
      <c r="I146" s="16"/>
      <c r="J146" s="15"/>
      <c r="K146" s="17"/>
      <c r="L146" s="15"/>
      <c r="M146" s="15"/>
      <c r="N146" s="15"/>
      <c r="O146" s="20"/>
    </row>
    <row r="147" spans="3:17" x14ac:dyDescent="0.2">
      <c r="C147" s="1" t="s">
        <v>247</v>
      </c>
      <c r="D147" t="s">
        <v>324</v>
      </c>
      <c r="E147" t="s">
        <v>326</v>
      </c>
      <c r="F147" s="1" t="s">
        <v>462</v>
      </c>
      <c r="H147" s="12" t="s">
        <v>298</v>
      </c>
      <c r="I147" s="11" t="s">
        <v>788</v>
      </c>
      <c r="J147" s="12" t="s">
        <v>318</v>
      </c>
      <c r="K147" s="13">
        <v>11.9</v>
      </c>
      <c r="L147" s="12">
        <v>173</v>
      </c>
      <c r="M147" s="12">
        <v>300</v>
      </c>
      <c r="N147" s="19">
        <v>3.3</v>
      </c>
      <c r="O147" s="19">
        <v>165.91</v>
      </c>
      <c r="Q147" t="s">
        <v>623</v>
      </c>
    </row>
    <row r="148" spans="3:17" x14ac:dyDescent="0.2">
      <c r="C148" s="1" t="s">
        <v>248</v>
      </c>
      <c r="D148" t="s">
        <v>324</v>
      </c>
      <c r="E148" t="s">
        <v>326</v>
      </c>
      <c r="F148" s="1" t="s">
        <v>463</v>
      </c>
      <c r="H148" s="12" t="s">
        <v>299</v>
      </c>
      <c r="I148" s="11" t="s">
        <v>789</v>
      </c>
      <c r="J148" s="12" t="s">
        <v>318</v>
      </c>
      <c r="K148" s="13">
        <v>13.2</v>
      </c>
      <c r="L148" s="12">
        <v>230</v>
      </c>
      <c r="M148" s="12">
        <v>330</v>
      </c>
      <c r="N148" s="19">
        <v>3.3</v>
      </c>
      <c r="O148" s="19">
        <v>214.62</v>
      </c>
      <c r="Q148" t="s">
        <v>624</v>
      </c>
    </row>
    <row r="149" spans="3:17" x14ac:dyDescent="0.2">
      <c r="C149" s="1" t="s">
        <v>249</v>
      </c>
      <c r="D149" t="s">
        <v>324</v>
      </c>
      <c r="E149" t="s">
        <v>326</v>
      </c>
      <c r="F149" s="1" t="s">
        <v>464</v>
      </c>
      <c r="H149" s="12" t="s">
        <v>300</v>
      </c>
      <c r="I149" s="11" t="s">
        <v>790</v>
      </c>
      <c r="J149" s="12" t="s">
        <v>318</v>
      </c>
      <c r="K149" s="13">
        <v>14.5</v>
      </c>
      <c r="L149" s="12">
        <v>288</v>
      </c>
      <c r="M149" s="12">
        <v>430</v>
      </c>
      <c r="N149" s="19">
        <v>3.3</v>
      </c>
      <c r="O149" s="19">
        <v>296.74</v>
      </c>
      <c r="Q149" t="s">
        <v>625</v>
      </c>
    </row>
    <row r="150" spans="3:17" x14ac:dyDescent="0.2">
      <c r="C150" s="1" t="s">
        <v>250</v>
      </c>
      <c r="D150" t="s">
        <v>324</v>
      </c>
      <c r="E150" t="s">
        <v>326</v>
      </c>
      <c r="F150" s="1" t="s">
        <v>465</v>
      </c>
      <c r="H150" s="12" t="s">
        <v>301</v>
      </c>
      <c r="I150" s="11" t="s">
        <v>791</v>
      </c>
      <c r="J150" s="12" t="s">
        <v>318</v>
      </c>
      <c r="K150" s="13">
        <v>16.100000000000001</v>
      </c>
      <c r="L150" s="12">
        <v>403</v>
      </c>
      <c r="M150" s="12">
        <v>600</v>
      </c>
      <c r="N150" s="19">
        <v>3.3</v>
      </c>
      <c r="O150" s="19">
        <v>391.52</v>
      </c>
      <c r="Q150" t="s">
        <v>626</v>
      </c>
    </row>
    <row r="151" spans="3:17" ht="3.6" customHeight="1" x14ac:dyDescent="0.2">
      <c r="H151" s="15"/>
      <c r="I151" s="16"/>
      <c r="J151" s="15"/>
      <c r="K151" s="17"/>
      <c r="L151" s="15"/>
      <c r="M151" s="15"/>
      <c r="N151" s="15"/>
      <c r="O151" s="20"/>
    </row>
    <row r="152" spans="3:17" x14ac:dyDescent="0.2">
      <c r="C152" s="1" t="s">
        <v>251</v>
      </c>
      <c r="D152" t="s">
        <v>324</v>
      </c>
      <c r="E152" t="s">
        <v>326</v>
      </c>
      <c r="F152" s="1" t="s">
        <v>466</v>
      </c>
      <c r="H152" s="12" t="s">
        <v>302</v>
      </c>
      <c r="I152" s="11" t="s">
        <v>792</v>
      </c>
      <c r="J152" s="12" t="s">
        <v>319</v>
      </c>
      <c r="K152" s="13">
        <v>15</v>
      </c>
      <c r="L152" s="12">
        <v>288</v>
      </c>
      <c r="M152" s="12">
        <v>545</v>
      </c>
      <c r="N152" s="12">
        <v>1.91</v>
      </c>
      <c r="O152" s="19">
        <v>282.26</v>
      </c>
      <c r="Q152" t="s">
        <v>627</v>
      </c>
    </row>
    <row r="153" spans="3:17" x14ac:dyDescent="0.2">
      <c r="C153" s="1" t="s">
        <v>252</v>
      </c>
      <c r="D153" t="s">
        <v>324</v>
      </c>
      <c r="E153" t="s">
        <v>326</v>
      </c>
      <c r="F153" s="1" t="s">
        <v>467</v>
      </c>
      <c r="H153" s="12" t="s">
        <v>303</v>
      </c>
      <c r="I153" s="11" t="s">
        <v>793</v>
      </c>
      <c r="J153" s="12" t="s">
        <v>319</v>
      </c>
      <c r="K153" s="13">
        <v>16.600000000000001</v>
      </c>
      <c r="L153" s="12">
        <v>384</v>
      </c>
      <c r="M153" s="12">
        <v>750</v>
      </c>
      <c r="N153" s="12">
        <v>1.91</v>
      </c>
      <c r="O153" s="19">
        <v>363.56</v>
      </c>
      <c r="Q153" t="s">
        <v>628</v>
      </c>
    </row>
    <row r="154" spans="3:17" x14ac:dyDescent="0.2">
      <c r="C154" s="1" t="s">
        <v>253</v>
      </c>
      <c r="D154" t="s">
        <v>324</v>
      </c>
      <c r="E154" t="s">
        <v>326</v>
      </c>
      <c r="F154" s="1" t="s">
        <v>468</v>
      </c>
      <c r="H154" s="12" t="s">
        <v>304</v>
      </c>
      <c r="I154" s="11" t="s">
        <v>794</v>
      </c>
      <c r="J154" s="12" t="s">
        <v>319</v>
      </c>
      <c r="K154" s="13">
        <v>18.399999999999999</v>
      </c>
      <c r="L154" s="12">
        <v>480</v>
      </c>
      <c r="M154" s="12">
        <v>930</v>
      </c>
      <c r="N154" s="12">
        <v>1.91</v>
      </c>
      <c r="O154" s="19">
        <v>477.55</v>
      </c>
      <c r="Q154" t="s">
        <v>629</v>
      </c>
    </row>
    <row r="155" spans="3:17" x14ac:dyDescent="0.2">
      <c r="C155" s="1" t="s">
        <v>254</v>
      </c>
      <c r="D155" t="s">
        <v>324</v>
      </c>
      <c r="E155" t="s">
        <v>326</v>
      </c>
      <c r="F155" s="1" t="s">
        <v>469</v>
      </c>
      <c r="H155" s="12" t="s">
        <v>305</v>
      </c>
      <c r="I155" s="11" t="s">
        <v>795</v>
      </c>
      <c r="J155" s="12" t="s">
        <v>319</v>
      </c>
      <c r="K155" s="13">
        <v>20.3</v>
      </c>
      <c r="L155" s="12">
        <v>672</v>
      </c>
      <c r="M155" s="12">
        <v>1105</v>
      </c>
      <c r="N155" s="12">
        <v>1.91</v>
      </c>
      <c r="O155" s="19">
        <v>660.65</v>
      </c>
      <c r="Q155" t="s">
        <v>630</v>
      </c>
    </row>
    <row r="156" spans="3:17" ht="3.6" customHeight="1" x14ac:dyDescent="0.2">
      <c r="H156" s="15"/>
      <c r="I156" s="16"/>
      <c r="J156" s="15"/>
      <c r="K156" s="17"/>
      <c r="L156" s="15"/>
      <c r="M156" s="15"/>
      <c r="N156" s="15"/>
      <c r="O156" s="20"/>
    </row>
    <row r="157" spans="3:17" x14ac:dyDescent="0.2">
      <c r="C157" s="1" t="s">
        <v>255</v>
      </c>
      <c r="D157" t="s">
        <v>324</v>
      </c>
      <c r="E157" t="s">
        <v>326</v>
      </c>
      <c r="F157" s="1" t="s">
        <v>470</v>
      </c>
      <c r="H157" s="12" t="s">
        <v>306</v>
      </c>
      <c r="I157" s="11" t="s">
        <v>796</v>
      </c>
      <c r="J157" s="12" t="s">
        <v>320</v>
      </c>
      <c r="K157" s="13">
        <v>16.8</v>
      </c>
      <c r="L157" s="12">
        <v>461</v>
      </c>
      <c r="M157" s="12">
        <v>830</v>
      </c>
      <c r="N157" s="12">
        <v>1.21</v>
      </c>
      <c r="O157" s="19">
        <v>424</v>
      </c>
      <c r="Q157" t="s">
        <v>631</v>
      </c>
    </row>
    <row r="158" spans="3:17" x14ac:dyDescent="0.2">
      <c r="C158" s="1" t="s">
        <v>256</v>
      </c>
      <c r="D158" t="s">
        <v>324</v>
      </c>
      <c r="E158" t="s">
        <v>326</v>
      </c>
      <c r="F158" s="1" t="s">
        <v>471</v>
      </c>
      <c r="H158" s="12" t="s">
        <v>307</v>
      </c>
      <c r="I158" s="11" t="s">
        <v>797</v>
      </c>
      <c r="J158" s="12" t="s">
        <v>320</v>
      </c>
      <c r="K158" s="13">
        <v>19.2</v>
      </c>
      <c r="L158" s="12">
        <v>614</v>
      </c>
      <c r="M158" s="12">
        <v>1050</v>
      </c>
      <c r="N158" s="12">
        <v>1.21</v>
      </c>
      <c r="O158" s="19">
        <v>560.02</v>
      </c>
      <c r="Q158" t="s">
        <v>632</v>
      </c>
    </row>
    <row r="159" spans="3:17" x14ac:dyDescent="0.2">
      <c r="C159" s="1" t="s">
        <v>257</v>
      </c>
      <c r="D159" t="s">
        <v>324</v>
      </c>
      <c r="E159" t="s">
        <v>326</v>
      </c>
      <c r="F159" s="1" t="s">
        <v>472</v>
      </c>
      <c r="H159" s="12" t="s">
        <v>308</v>
      </c>
      <c r="I159" s="11" t="s">
        <v>798</v>
      </c>
      <c r="J159" s="12" t="s">
        <v>320</v>
      </c>
      <c r="K159" s="13">
        <v>21.6</v>
      </c>
      <c r="L159" s="12">
        <v>768</v>
      </c>
      <c r="M159" s="12">
        <v>1300</v>
      </c>
      <c r="N159" s="12">
        <v>1.21</v>
      </c>
      <c r="O159" s="19">
        <v>729.96</v>
      </c>
      <c r="Q159" t="s">
        <v>633</v>
      </c>
    </row>
    <row r="160" spans="3:17" x14ac:dyDescent="0.2">
      <c r="C160" s="1" t="s">
        <v>258</v>
      </c>
      <c r="D160" t="s">
        <v>324</v>
      </c>
      <c r="E160" t="s">
        <v>326</v>
      </c>
      <c r="F160" s="1" t="s">
        <v>473</v>
      </c>
      <c r="H160" s="12" t="s">
        <v>309</v>
      </c>
      <c r="I160" s="11" t="s">
        <v>799</v>
      </c>
      <c r="J160" s="12" t="s">
        <v>320</v>
      </c>
      <c r="K160" s="13">
        <v>23.8</v>
      </c>
      <c r="L160" s="12">
        <v>1075</v>
      </c>
      <c r="M160" s="12">
        <v>1735</v>
      </c>
      <c r="N160" s="12">
        <v>1.21</v>
      </c>
      <c r="O160" s="19">
        <v>1073.8800000000001</v>
      </c>
      <c r="Q160" t="s">
        <v>634</v>
      </c>
    </row>
    <row r="161" spans="3:17" ht="3.6" customHeight="1" x14ac:dyDescent="0.2">
      <c r="H161" s="15"/>
      <c r="I161" s="16"/>
      <c r="J161" s="15"/>
      <c r="K161" s="17"/>
      <c r="L161" s="15"/>
      <c r="M161" s="15"/>
      <c r="N161" s="15"/>
      <c r="O161" s="20"/>
    </row>
    <row r="162" spans="3:17" x14ac:dyDescent="0.2">
      <c r="C162" s="1" t="s">
        <v>259</v>
      </c>
      <c r="D162" t="s">
        <v>324</v>
      </c>
      <c r="E162" t="s">
        <v>326</v>
      </c>
      <c r="F162" s="1" t="s">
        <v>474</v>
      </c>
      <c r="H162" s="12" t="s">
        <v>310</v>
      </c>
      <c r="I162" s="11" t="s">
        <v>800</v>
      </c>
      <c r="J162" s="12" t="s">
        <v>321</v>
      </c>
      <c r="K162" s="13">
        <v>22.8</v>
      </c>
      <c r="L162" s="12">
        <v>720</v>
      </c>
      <c r="M162" s="12">
        <v>1065</v>
      </c>
      <c r="N162" s="37">
        <v>0.78</v>
      </c>
      <c r="O162" s="19">
        <v>654</v>
      </c>
      <c r="Q162" t="s">
        <v>635</v>
      </c>
    </row>
    <row r="163" spans="3:17" x14ac:dyDescent="0.2">
      <c r="C163" s="1" t="s">
        <v>260</v>
      </c>
      <c r="D163" t="s">
        <v>324</v>
      </c>
      <c r="E163" t="s">
        <v>326</v>
      </c>
      <c r="F163" s="1" t="s">
        <v>475</v>
      </c>
      <c r="H163" s="12" t="s">
        <v>311</v>
      </c>
      <c r="I163" s="11" t="s">
        <v>801</v>
      </c>
      <c r="J163" s="12" t="s">
        <v>321</v>
      </c>
      <c r="K163" s="13">
        <v>23.9</v>
      </c>
      <c r="L163" s="12">
        <v>960</v>
      </c>
      <c r="M163" s="12">
        <v>1675</v>
      </c>
      <c r="N163" s="37">
        <v>0.78</v>
      </c>
      <c r="O163" s="19">
        <v>866.43</v>
      </c>
      <c r="Q163" t="s">
        <v>636</v>
      </c>
    </row>
    <row r="164" spans="3:17" x14ac:dyDescent="0.2">
      <c r="C164" s="1" t="s">
        <v>261</v>
      </c>
      <c r="D164" t="s">
        <v>324</v>
      </c>
      <c r="E164" t="s">
        <v>326</v>
      </c>
      <c r="F164" s="1" t="s">
        <v>476</v>
      </c>
      <c r="H164" s="12" t="s">
        <v>312</v>
      </c>
      <c r="I164" s="11" t="s">
        <v>802</v>
      </c>
      <c r="J164" s="12" t="s">
        <v>321</v>
      </c>
      <c r="K164" s="13">
        <v>26.8</v>
      </c>
      <c r="L164" s="12">
        <v>1200</v>
      </c>
      <c r="M164" s="12">
        <v>2100</v>
      </c>
      <c r="N164" s="37">
        <v>0.78</v>
      </c>
      <c r="O164" s="19">
        <v>1109.24</v>
      </c>
      <c r="Q164" t="s">
        <v>637</v>
      </c>
    </row>
    <row r="165" spans="3:17" x14ac:dyDescent="0.2">
      <c r="C165" s="1" t="s">
        <v>262</v>
      </c>
      <c r="D165" t="s">
        <v>324</v>
      </c>
      <c r="E165" t="s">
        <v>326</v>
      </c>
      <c r="F165" s="1" t="s">
        <v>477</v>
      </c>
      <c r="H165" s="12" t="s">
        <v>313</v>
      </c>
      <c r="I165" s="11" t="s">
        <v>803</v>
      </c>
      <c r="J165" s="12" t="s">
        <v>321</v>
      </c>
      <c r="K165" s="13">
        <v>31</v>
      </c>
      <c r="L165" s="12">
        <v>1680</v>
      </c>
      <c r="M165" s="12">
        <v>2705</v>
      </c>
      <c r="N165" s="37">
        <v>0.78</v>
      </c>
      <c r="O165" s="19" t="s">
        <v>904</v>
      </c>
      <c r="Q165" t="s">
        <v>638</v>
      </c>
    </row>
    <row r="166" spans="3:17" ht="3.6" customHeight="1" x14ac:dyDescent="0.2">
      <c r="H166" s="15"/>
      <c r="I166" s="16"/>
      <c r="J166" s="15"/>
      <c r="K166" s="17"/>
      <c r="L166" s="15"/>
      <c r="M166" s="15"/>
      <c r="N166" s="15"/>
      <c r="O166" s="20"/>
    </row>
    <row r="167" spans="3:17" x14ac:dyDescent="0.2">
      <c r="C167" s="1" t="s">
        <v>263</v>
      </c>
      <c r="D167" t="s">
        <v>324</v>
      </c>
      <c r="E167" t="s">
        <v>326</v>
      </c>
      <c r="F167" s="1" t="s">
        <v>478</v>
      </c>
      <c r="H167" s="12" t="s">
        <v>314</v>
      </c>
      <c r="I167" s="11" t="s">
        <v>804</v>
      </c>
      <c r="J167" s="12" t="s">
        <v>322</v>
      </c>
      <c r="K167" s="13">
        <v>28.4</v>
      </c>
      <c r="L167" s="12">
        <v>1344</v>
      </c>
      <c r="M167" s="12">
        <v>2050</v>
      </c>
      <c r="N167" s="12">
        <v>0.55400000000000005</v>
      </c>
      <c r="O167" s="19">
        <v>1289.1199999999999</v>
      </c>
      <c r="Q167" t="s">
        <v>639</v>
      </c>
    </row>
    <row r="168" spans="3:17" x14ac:dyDescent="0.2">
      <c r="C168" s="1" t="s">
        <v>264</v>
      </c>
      <c r="D168" t="s">
        <v>324</v>
      </c>
      <c r="E168" t="s">
        <v>326</v>
      </c>
      <c r="F168" s="1" t="s">
        <v>479</v>
      </c>
      <c r="H168" s="12" t="s">
        <v>315</v>
      </c>
      <c r="I168" s="11" t="s">
        <v>805</v>
      </c>
      <c r="J168" s="12" t="s">
        <v>322</v>
      </c>
      <c r="K168" s="13">
        <v>32.1</v>
      </c>
      <c r="L168" s="12">
        <v>1680</v>
      </c>
      <c r="M168" s="12">
        <v>2635</v>
      </c>
      <c r="N168" s="12">
        <v>0.55400000000000005</v>
      </c>
      <c r="O168" s="19">
        <v>1593.62</v>
      </c>
      <c r="Q168" t="s">
        <v>640</v>
      </c>
    </row>
  </sheetData>
  <mergeCells count="1">
    <mergeCell ref="I4:I5"/>
  </mergeCells>
  <pageMargins left="0.17" right="0.17" top="0.24" bottom="0.17" header="0.3" footer="0.3"/>
  <pageSetup scale="8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2387B-AE6F-4113-88CD-90C3F66D5FEB}">
  <sheetPr>
    <tabColor rgb="FF00B0F0"/>
  </sheetPr>
  <dimension ref="C1:Q168"/>
  <sheetViews>
    <sheetView topLeftCell="G3" zoomScaleNormal="100" workbookViewId="0">
      <selection activeCell="L6" sqref="L6"/>
    </sheetView>
  </sheetViews>
  <sheetFormatPr defaultRowHeight="14.25" x14ac:dyDescent="0.2"/>
  <cols>
    <col min="1" max="2" width="0" hidden="1" customWidth="1"/>
    <col min="3" max="3" width="13.125" style="1" hidden="1" customWidth="1"/>
    <col min="4" max="4" width="20.375" hidden="1" customWidth="1"/>
    <col min="5" max="5" width="7" hidden="1" customWidth="1"/>
    <col min="6" max="6" width="14.375" style="1" hidden="1" customWidth="1"/>
    <col min="7" max="7" width="4.75" style="1" customWidth="1"/>
    <col min="8" max="8" width="14.375" style="1" customWidth="1"/>
    <col min="9" max="9" width="31.75" style="1" customWidth="1"/>
    <col min="10" max="10" width="19" style="1" customWidth="1"/>
    <col min="11" max="11" width="9.375" style="3" bestFit="1" customWidth="1"/>
    <col min="12" max="13" width="9.75" style="1" bestFit="1" customWidth="1"/>
    <col min="14" max="14" width="17.875" style="1" bestFit="1" customWidth="1"/>
    <col min="15" max="15" width="14.75" style="21" customWidth="1"/>
    <col min="16" max="16" width="17.875" style="1" customWidth="1"/>
    <col min="17" max="17" width="50.125" customWidth="1"/>
  </cols>
  <sheetData>
    <row r="1" spans="3:17" x14ac:dyDescent="0.2">
      <c r="K1" s="1"/>
    </row>
    <row r="2" spans="3:17" x14ac:dyDescent="0.2">
      <c r="I2" s="34" t="s">
        <v>642</v>
      </c>
      <c r="K2" s="1"/>
      <c r="O2" s="22" t="s">
        <v>806</v>
      </c>
    </row>
    <row r="3" spans="3:17" x14ac:dyDescent="0.2">
      <c r="K3" s="1"/>
    </row>
    <row r="4" spans="3:17" s="5" customFormat="1" ht="20.45" customHeight="1" x14ac:dyDescent="0.2">
      <c r="C4" s="4" t="s">
        <v>131</v>
      </c>
      <c r="F4" s="4"/>
      <c r="G4" s="4"/>
      <c r="H4" s="6" t="s">
        <v>164</v>
      </c>
      <c r="I4" s="38" t="s">
        <v>480</v>
      </c>
      <c r="J4" s="6" t="s">
        <v>486</v>
      </c>
      <c r="K4" s="7" t="s">
        <v>170</v>
      </c>
      <c r="L4" s="6" t="s">
        <v>481</v>
      </c>
      <c r="M4" s="6" t="s">
        <v>482</v>
      </c>
      <c r="N4" s="6" t="s">
        <v>172</v>
      </c>
      <c r="O4" s="23" t="s">
        <v>645</v>
      </c>
      <c r="P4" s="1"/>
    </row>
    <row r="5" spans="3:17" s="5" customFormat="1" ht="20.45" customHeight="1" x14ac:dyDescent="0.2">
      <c r="C5" s="4"/>
      <c r="F5" s="4"/>
      <c r="G5" s="4"/>
      <c r="H5" s="8" t="s">
        <v>484</v>
      </c>
      <c r="I5" s="39"/>
      <c r="J5" s="8" t="s">
        <v>169</v>
      </c>
      <c r="K5" s="9" t="s">
        <v>483</v>
      </c>
      <c r="L5" s="8" t="s">
        <v>171</v>
      </c>
      <c r="M5" s="8" t="s">
        <v>171</v>
      </c>
      <c r="N5" s="10" t="s">
        <v>485</v>
      </c>
      <c r="O5" s="24" t="s">
        <v>646</v>
      </c>
      <c r="P5" s="1"/>
      <c r="Q5" s="14" t="s">
        <v>807</v>
      </c>
    </row>
    <row r="6" spans="3:17" x14ac:dyDescent="0.2">
      <c r="C6" s="1" t="s">
        <v>85</v>
      </c>
      <c r="D6" t="s">
        <v>323</v>
      </c>
      <c r="E6" t="s">
        <v>325</v>
      </c>
      <c r="F6" s="2" t="s">
        <v>327</v>
      </c>
      <c r="G6" s="2"/>
      <c r="H6" s="12" t="s">
        <v>165</v>
      </c>
      <c r="I6" s="11" t="s">
        <v>1689</v>
      </c>
      <c r="J6" s="12" t="s">
        <v>24</v>
      </c>
      <c r="K6" s="13">
        <v>4.9000000000000004</v>
      </c>
      <c r="L6" s="13">
        <v>9.6</v>
      </c>
      <c r="M6" s="12">
        <v>38</v>
      </c>
      <c r="N6" s="13">
        <v>39</v>
      </c>
      <c r="O6" s="19">
        <v>14.44</v>
      </c>
      <c r="Q6" t="s">
        <v>488</v>
      </c>
    </row>
    <row r="7" spans="3:17" x14ac:dyDescent="0.2">
      <c r="C7" s="1" t="s">
        <v>86</v>
      </c>
      <c r="D7" t="s">
        <v>324</v>
      </c>
      <c r="E7" t="s">
        <v>326</v>
      </c>
      <c r="F7" s="1" t="s">
        <v>333</v>
      </c>
      <c r="H7" s="12" t="s">
        <v>0</v>
      </c>
      <c r="I7" s="11" t="s">
        <v>1690</v>
      </c>
      <c r="J7" s="12" t="s">
        <v>24</v>
      </c>
      <c r="K7" s="13">
        <v>5.2</v>
      </c>
      <c r="L7" s="13">
        <v>14.4</v>
      </c>
      <c r="M7" s="12">
        <v>47</v>
      </c>
      <c r="N7" s="13">
        <v>39</v>
      </c>
      <c r="O7" s="19">
        <v>19.54</v>
      </c>
      <c r="Q7" t="s">
        <v>489</v>
      </c>
    </row>
    <row r="8" spans="3:17" x14ac:dyDescent="0.2">
      <c r="C8" s="1" t="s">
        <v>87</v>
      </c>
      <c r="D8" t="s">
        <v>324</v>
      </c>
      <c r="E8" t="s">
        <v>326</v>
      </c>
      <c r="F8" s="1" t="s">
        <v>334</v>
      </c>
      <c r="H8" s="12" t="s">
        <v>1</v>
      </c>
      <c r="I8" s="11" t="s">
        <v>1691</v>
      </c>
      <c r="J8" s="12" t="s">
        <v>24</v>
      </c>
      <c r="K8" s="13">
        <v>5.7</v>
      </c>
      <c r="L8" s="13">
        <v>19.2</v>
      </c>
      <c r="M8" s="12">
        <v>58</v>
      </c>
      <c r="N8" s="13">
        <v>39</v>
      </c>
      <c r="O8" s="19">
        <v>24.37</v>
      </c>
      <c r="Q8" t="s">
        <v>490</v>
      </c>
    </row>
    <row r="9" spans="3:17" x14ac:dyDescent="0.2">
      <c r="C9" s="1" t="s">
        <v>88</v>
      </c>
      <c r="D9" t="s">
        <v>324</v>
      </c>
      <c r="E9" t="s">
        <v>326</v>
      </c>
      <c r="F9" s="1" t="s">
        <v>335</v>
      </c>
      <c r="H9" s="12" t="s">
        <v>3</v>
      </c>
      <c r="I9" s="11" t="s">
        <v>1692</v>
      </c>
      <c r="J9" s="12" t="s">
        <v>24</v>
      </c>
      <c r="K9" s="13">
        <v>6</v>
      </c>
      <c r="L9" s="13">
        <v>24</v>
      </c>
      <c r="M9" s="12">
        <v>75</v>
      </c>
      <c r="N9" s="13">
        <v>39</v>
      </c>
      <c r="O9" s="19">
        <v>30.34</v>
      </c>
      <c r="Q9" t="s">
        <v>491</v>
      </c>
    </row>
    <row r="10" spans="3:17" x14ac:dyDescent="0.2">
      <c r="C10" s="1" t="s">
        <v>89</v>
      </c>
      <c r="D10" t="s">
        <v>324</v>
      </c>
      <c r="E10" t="s">
        <v>326</v>
      </c>
      <c r="F10" s="1" t="s">
        <v>336</v>
      </c>
      <c r="H10" s="12" t="s">
        <v>2</v>
      </c>
      <c r="I10" s="11" t="s">
        <v>1693</v>
      </c>
      <c r="J10" s="12" t="s">
        <v>24</v>
      </c>
      <c r="K10" s="13">
        <v>6.5</v>
      </c>
      <c r="L10" s="13">
        <v>28.8</v>
      </c>
      <c r="M10" s="12">
        <v>89</v>
      </c>
      <c r="N10" s="13">
        <v>39</v>
      </c>
      <c r="O10" s="19">
        <v>40</v>
      </c>
      <c r="Q10" t="s">
        <v>492</v>
      </c>
    </row>
    <row r="11" spans="3:17" x14ac:dyDescent="0.2">
      <c r="C11" s="1" t="s">
        <v>90</v>
      </c>
      <c r="D11" t="s">
        <v>324</v>
      </c>
      <c r="E11" t="s">
        <v>326</v>
      </c>
      <c r="F11" s="1" t="s">
        <v>337</v>
      </c>
      <c r="H11" s="12" t="s">
        <v>4</v>
      </c>
      <c r="I11" s="11" t="s">
        <v>1694</v>
      </c>
      <c r="J11" s="12" t="s">
        <v>24</v>
      </c>
      <c r="K11" s="13">
        <v>7.1</v>
      </c>
      <c r="L11" s="13">
        <v>33.6</v>
      </c>
      <c r="M11" s="12">
        <v>93</v>
      </c>
      <c r="N11" s="13">
        <v>39</v>
      </c>
      <c r="O11" s="19">
        <v>44.58</v>
      </c>
      <c r="Q11" t="s">
        <v>493</v>
      </c>
    </row>
    <row r="12" spans="3:17" x14ac:dyDescent="0.2">
      <c r="C12" s="1" t="s">
        <v>91</v>
      </c>
      <c r="D12" t="s">
        <v>324</v>
      </c>
      <c r="E12" t="s">
        <v>326</v>
      </c>
      <c r="F12" s="1" t="s">
        <v>338</v>
      </c>
      <c r="H12" s="12" t="s">
        <v>5</v>
      </c>
      <c r="I12" s="11" t="s">
        <v>1695</v>
      </c>
      <c r="J12" s="12" t="s">
        <v>24</v>
      </c>
      <c r="K12" s="13">
        <v>7.7</v>
      </c>
      <c r="L12" s="13">
        <v>38.4</v>
      </c>
      <c r="M12" s="12">
        <v>110</v>
      </c>
      <c r="N12" s="13">
        <v>39</v>
      </c>
      <c r="O12" s="19">
        <v>51.4</v>
      </c>
      <c r="Q12" t="s">
        <v>494</v>
      </c>
    </row>
    <row r="13" spans="3:17" x14ac:dyDescent="0.2">
      <c r="C13" s="1" t="s">
        <v>92</v>
      </c>
      <c r="D13" t="s">
        <v>324</v>
      </c>
      <c r="E13" t="s">
        <v>326</v>
      </c>
      <c r="F13" s="1" t="s">
        <v>339</v>
      </c>
      <c r="H13" s="12" t="s">
        <v>6</v>
      </c>
      <c r="I13" s="11" t="s">
        <v>1696</v>
      </c>
      <c r="J13" s="12" t="s">
        <v>24</v>
      </c>
      <c r="K13" s="13">
        <v>8.6</v>
      </c>
      <c r="L13" s="13">
        <v>48</v>
      </c>
      <c r="M13" s="12">
        <v>140</v>
      </c>
      <c r="N13" s="13">
        <v>39</v>
      </c>
      <c r="O13" s="19">
        <v>64.42</v>
      </c>
      <c r="Q13" t="s">
        <v>495</v>
      </c>
    </row>
    <row r="14" spans="3:17" x14ac:dyDescent="0.2">
      <c r="C14" s="1" t="s">
        <v>93</v>
      </c>
      <c r="D14" t="s">
        <v>324</v>
      </c>
      <c r="E14" t="s">
        <v>326</v>
      </c>
      <c r="F14" s="1" t="s">
        <v>340</v>
      </c>
      <c r="H14" s="12" t="s">
        <v>7</v>
      </c>
      <c r="I14" s="11" t="s">
        <v>1697</v>
      </c>
      <c r="J14" s="12" t="s">
        <v>24</v>
      </c>
      <c r="K14" s="13">
        <v>9.1</v>
      </c>
      <c r="L14" s="13">
        <v>58</v>
      </c>
      <c r="M14" s="12">
        <v>150</v>
      </c>
      <c r="N14" s="13">
        <v>39</v>
      </c>
      <c r="O14" s="19">
        <v>75.540000000000006</v>
      </c>
      <c r="Q14" t="s">
        <v>496</v>
      </c>
    </row>
    <row r="15" spans="3:17" x14ac:dyDescent="0.2">
      <c r="C15" s="1" t="s">
        <v>132</v>
      </c>
      <c r="D15" t="s">
        <v>324</v>
      </c>
      <c r="E15" t="s">
        <v>326</v>
      </c>
      <c r="F15" s="1" t="s">
        <v>341</v>
      </c>
      <c r="H15" s="12" t="s">
        <v>8</v>
      </c>
      <c r="I15" s="11" t="s">
        <v>1698</v>
      </c>
      <c r="J15" s="12" t="s">
        <v>24</v>
      </c>
      <c r="K15" s="13">
        <v>9.3000000000000007</v>
      </c>
      <c r="L15" s="13">
        <v>67</v>
      </c>
      <c r="M15" s="12">
        <v>170</v>
      </c>
      <c r="N15" s="13">
        <v>39</v>
      </c>
      <c r="O15" s="19">
        <v>90.65</v>
      </c>
      <c r="Q15" t="s">
        <v>497</v>
      </c>
    </row>
    <row r="16" spans="3:17" x14ac:dyDescent="0.2">
      <c r="C16" s="1" t="s">
        <v>133</v>
      </c>
      <c r="D16" t="s">
        <v>324</v>
      </c>
      <c r="E16" t="s">
        <v>326</v>
      </c>
      <c r="F16" s="1" t="s">
        <v>342</v>
      </c>
      <c r="H16" s="12" t="s">
        <v>9</v>
      </c>
      <c r="I16" s="11" t="s">
        <v>1699</v>
      </c>
      <c r="J16" s="12" t="s">
        <v>24</v>
      </c>
      <c r="K16" s="13">
        <v>10.4</v>
      </c>
      <c r="L16" s="13">
        <v>77</v>
      </c>
      <c r="M16" s="12">
        <v>195</v>
      </c>
      <c r="N16" s="13">
        <v>39</v>
      </c>
      <c r="O16" s="19">
        <v>101.46</v>
      </c>
      <c r="Q16" t="s">
        <v>498</v>
      </c>
    </row>
    <row r="17" spans="3:17" x14ac:dyDescent="0.2">
      <c r="C17" s="1" t="s">
        <v>134</v>
      </c>
      <c r="D17" t="s">
        <v>324</v>
      </c>
      <c r="E17" t="s">
        <v>326</v>
      </c>
      <c r="F17" s="1" t="s">
        <v>343</v>
      </c>
      <c r="H17" s="12" t="s">
        <v>10</v>
      </c>
      <c r="I17" s="11" t="s">
        <v>1700</v>
      </c>
      <c r="J17" s="12" t="s">
        <v>24</v>
      </c>
      <c r="K17" s="13">
        <v>10.8</v>
      </c>
      <c r="L17" s="13">
        <v>86</v>
      </c>
      <c r="M17" s="12">
        <v>215</v>
      </c>
      <c r="N17" s="13">
        <v>39</v>
      </c>
      <c r="O17" s="19">
        <v>113.29</v>
      </c>
      <c r="Q17" t="s">
        <v>499</v>
      </c>
    </row>
    <row r="18" spans="3:17" x14ac:dyDescent="0.2">
      <c r="C18" s="1" t="s">
        <v>135</v>
      </c>
      <c r="D18" t="s">
        <v>324</v>
      </c>
      <c r="E18" t="s">
        <v>326</v>
      </c>
      <c r="F18" s="1" t="s">
        <v>344</v>
      </c>
      <c r="H18" s="12" t="s">
        <v>11</v>
      </c>
      <c r="I18" s="11" t="s">
        <v>1701</v>
      </c>
      <c r="J18" s="12" t="s">
        <v>24</v>
      </c>
      <c r="K18" s="13">
        <v>11.8</v>
      </c>
      <c r="L18" s="13">
        <v>96</v>
      </c>
      <c r="M18" s="12">
        <v>230</v>
      </c>
      <c r="N18" s="13">
        <v>39</v>
      </c>
      <c r="O18" s="19">
        <v>123.86</v>
      </c>
      <c r="Q18" t="s">
        <v>500</v>
      </c>
    </row>
    <row r="19" spans="3:17" x14ac:dyDescent="0.2">
      <c r="C19" s="1" t="s">
        <v>136</v>
      </c>
      <c r="D19" t="s">
        <v>324</v>
      </c>
      <c r="E19" t="s">
        <v>326</v>
      </c>
      <c r="F19" s="1" t="s">
        <v>345</v>
      </c>
      <c r="H19" s="12" t="s">
        <v>12</v>
      </c>
      <c r="I19" s="11" t="s">
        <v>1702</v>
      </c>
      <c r="J19" s="12" t="s">
        <v>24</v>
      </c>
      <c r="K19" s="13">
        <v>12</v>
      </c>
      <c r="L19" s="12">
        <v>101</v>
      </c>
      <c r="M19" s="12">
        <v>245</v>
      </c>
      <c r="N19" s="13">
        <v>39</v>
      </c>
      <c r="O19" s="19">
        <v>135.44</v>
      </c>
      <c r="Q19" t="s">
        <v>501</v>
      </c>
    </row>
    <row r="20" spans="3:17" x14ac:dyDescent="0.2">
      <c r="C20" s="1" t="s">
        <v>137</v>
      </c>
      <c r="D20" t="s">
        <v>324</v>
      </c>
      <c r="E20" t="s">
        <v>326</v>
      </c>
      <c r="F20" s="1" t="s">
        <v>346</v>
      </c>
      <c r="H20" s="12" t="s">
        <v>13</v>
      </c>
      <c r="I20" s="11" t="s">
        <v>1703</v>
      </c>
      <c r="J20" s="12" t="s">
        <v>24</v>
      </c>
      <c r="K20" s="13">
        <v>12.8</v>
      </c>
      <c r="L20" s="12">
        <v>120</v>
      </c>
      <c r="M20" s="12">
        <v>280</v>
      </c>
      <c r="N20" s="13">
        <v>39</v>
      </c>
      <c r="O20" s="19">
        <v>152.66</v>
      </c>
      <c r="Q20" t="s">
        <v>502</v>
      </c>
    </row>
    <row r="21" spans="3:17" x14ac:dyDescent="0.2">
      <c r="C21" s="1" t="s">
        <v>138</v>
      </c>
      <c r="D21" t="s">
        <v>324</v>
      </c>
      <c r="E21" t="s">
        <v>326</v>
      </c>
      <c r="F21" s="1" t="s">
        <v>347</v>
      </c>
      <c r="H21" s="12" t="s">
        <v>14</v>
      </c>
      <c r="I21" s="11" t="s">
        <v>1704</v>
      </c>
      <c r="J21" s="12" t="s">
        <v>24</v>
      </c>
      <c r="K21" s="13">
        <v>13.7</v>
      </c>
      <c r="L21" s="12">
        <v>144</v>
      </c>
      <c r="M21" s="12">
        <v>310</v>
      </c>
      <c r="N21" s="13">
        <v>39</v>
      </c>
      <c r="O21" s="19">
        <v>184.45</v>
      </c>
      <c r="Q21" t="s">
        <v>503</v>
      </c>
    </row>
    <row r="22" spans="3:17" x14ac:dyDescent="0.2">
      <c r="C22" s="1" t="s">
        <v>139</v>
      </c>
      <c r="D22" t="s">
        <v>324</v>
      </c>
      <c r="E22" t="s">
        <v>326</v>
      </c>
      <c r="F22" s="1" t="s">
        <v>348</v>
      </c>
      <c r="H22" s="12" t="s">
        <v>166</v>
      </c>
      <c r="I22" s="11" t="s">
        <v>1705</v>
      </c>
      <c r="J22" s="12" t="s">
        <v>24</v>
      </c>
      <c r="K22" s="13">
        <v>14</v>
      </c>
      <c r="L22" s="12">
        <v>154</v>
      </c>
      <c r="M22" s="12">
        <v>345</v>
      </c>
      <c r="N22" s="13">
        <v>39</v>
      </c>
      <c r="O22" s="19">
        <v>199</v>
      </c>
      <c r="Q22" t="s">
        <v>504</v>
      </c>
    </row>
    <row r="23" spans="3:17" x14ac:dyDescent="0.2">
      <c r="C23" s="1" t="s">
        <v>140</v>
      </c>
      <c r="D23" t="s">
        <v>324</v>
      </c>
      <c r="E23" t="s">
        <v>326</v>
      </c>
      <c r="F23" s="1" t="s">
        <v>349</v>
      </c>
      <c r="H23" s="12" t="s">
        <v>15</v>
      </c>
      <c r="I23" s="11" t="s">
        <v>1706</v>
      </c>
      <c r="J23" s="12" t="s">
        <v>24</v>
      </c>
      <c r="K23" s="13">
        <v>14.9</v>
      </c>
      <c r="L23" s="12">
        <v>168</v>
      </c>
      <c r="M23" s="12">
        <v>390</v>
      </c>
      <c r="N23" s="13">
        <v>39</v>
      </c>
      <c r="O23" s="19">
        <f>35/34*228.36</f>
        <v>235.07647058823528</v>
      </c>
      <c r="Q23" t="s">
        <v>505</v>
      </c>
    </row>
    <row r="24" spans="3:17" x14ac:dyDescent="0.2">
      <c r="C24" s="1" t="s">
        <v>141</v>
      </c>
      <c r="D24" t="s">
        <v>324</v>
      </c>
      <c r="E24" t="s">
        <v>326</v>
      </c>
      <c r="F24" s="1" t="s">
        <v>350</v>
      </c>
      <c r="H24" s="12" t="s">
        <v>16</v>
      </c>
      <c r="I24" s="11" t="s">
        <v>1707</v>
      </c>
      <c r="J24" s="12" t="s">
        <v>24</v>
      </c>
      <c r="K24" s="13">
        <v>15.6</v>
      </c>
      <c r="L24" s="12">
        <v>192</v>
      </c>
      <c r="M24" s="12">
        <v>450</v>
      </c>
      <c r="N24" s="13">
        <v>39</v>
      </c>
      <c r="O24" s="19">
        <f>O25/42*40</f>
        <v>316.97142857142859</v>
      </c>
      <c r="Q24" t="s">
        <v>506</v>
      </c>
    </row>
    <row r="25" spans="3:17" x14ac:dyDescent="0.2">
      <c r="C25" s="1" t="s">
        <v>142</v>
      </c>
      <c r="D25" t="s">
        <v>324</v>
      </c>
      <c r="E25" t="s">
        <v>326</v>
      </c>
      <c r="F25" s="1" t="s">
        <v>351</v>
      </c>
      <c r="H25" s="12" t="s">
        <v>17</v>
      </c>
      <c r="I25" s="11" t="s">
        <v>1708</v>
      </c>
      <c r="J25" s="12" t="s">
        <v>24</v>
      </c>
      <c r="K25" s="13">
        <v>16.2</v>
      </c>
      <c r="L25" s="12">
        <v>202</v>
      </c>
      <c r="M25" s="12">
        <v>470</v>
      </c>
      <c r="N25" s="13">
        <v>39</v>
      </c>
      <c r="O25" s="19">
        <v>332.82</v>
      </c>
      <c r="Q25" t="s">
        <v>507</v>
      </c>
    </row>
    <row r="26" spans="3:17" x14ac:dyDescent="0.2">
      <c r="C26" s="1" t="s">
        <v>143</v>
      </c>
      <c r="D26" t="s">
        <v>324</v>
      </c>
      <c r="E26" t="s">
        <v>326</v>
      </c>
      <c r="F26" s="1" t="s">
        <v>352</v>
      </c>
      <c r="H26" s="12" t="s">
        <v>18</v>
      </c>
      <c r="I26" s="11" t="s">
        <v>1709</v>
      </c>
      <c r="J26" s="12" t="s">
        <v>24</v>
      </c>
      <c r="K26" s="13">
        <v>17.600000000000001</v>
      </c>
      <c r="L26" s="12">
        <v>240</v>
      </c>
      <c r="M26" s="12">
        <v>510</v>
      </c>
      <c r="N26" s="13">
        <v>39</v>
      </c>
      <c r="O26" s="19">
        <v>409.97</v>
      </c>
      <c r="Q26" t="s">
        <v>508</v>
      </c>
    </row>
    <row r="27" spans="3:17" x14ac:dyDescent="0.2">
      <c r="C27" s="1" t="s">
        <v>144</v>
      </c>
      <c r="D27" t="s">
        <v>324</v>
      </c>
      <c r="E27" t="s">
        <v>326</v>
      </c>
      <c r="F27" s="1" t="s">
        <v>353</v>
      </c>
      <c r="H27" s="12" t="s">
        <v>19</v>
      </c>
      <c r="I27" s="11" t="s">
        <v>1710</v>
      </c>
      <c r="J27" s="12" t="s">
        <v>24</v>
      </c>
      <c r="K27" s="13">
        <v>17.7</v>
      </c>
      <c r="L27" s="12">
        <v>252</v>
      </c>
      <c r="M27" s="12">
        <v>530</v>
      </c>
      <c r="N27" s="13">
        <v>39</v>
      </c>
      <c r="O27" s="19">
        <f>O26/50*52</f>
        <v>426.36880000000002</v>
      </c>
      <c r="Q27" t="s">
        <v>509</v>
      </c>
    </row>
    <row r="28" spans="3:17" x14ac:dyDescent="0.2">
      <c r="C28" s="1" t="s">
        <v>145</v>
      </c>
      <c r="D28" t="s">
        <v>324</v>
      </c>
      <c r="E28" t="s">
        <v>326</v>
      </c>
      <c r="F28" s="1" t="s">
        <v>354</v>
      </c>
      <c r="H28" s="12" t="s">
        <v>20</v>
      </c>
      <c r="I28" s="11" t="s">
        <v>1711</v>
      </c>
      <c r="J28" s="12" t="s">
        <v>24</v>
      </c>
      <c r="K28" s="13">
        <v>18.899999999999999</v>
      </c>
      <c r="L28" s="12">
        <v>293</v>
      </c>
      <c r="M28" s="12">
        <v>650</v>
      </c>
      <c r="N28" s="13">
        <v>39</v>
      </c>
      <c r="O28" s="19">
        <v>468.07</v>
      </c>
      <c r="Q28" t="s">
        <v>510</v>
      </c>
    </row>
    <row r="29" spans="3:17" x14ac:dyDescent="0.2">
      <c r="C29" s="1" t="s">
        <v>146</v>
      </c>
      <c r="D29" t="s">
        <v>324</v>
      </c>
      <c r="E29" t="s">
        <v>326</v>
      </c>
      <c r="F29" s="1" t="s">
        <v>355</v>
      </c>
      <c r="H29" s="12" t="s">
        <v>21</v>
      </c>
      <c r="I29" s="11" t="s">
        <v>1712</v>
      </c>
      <c r="J29" s="12" t="s">
        <v>24</v>
      </c>
      <c r="K29" s="13">
        <v>19.8</v>
      </c>
      <c r="L29" s="12">
        <v>312</v>
      </c>
      <c r="M29" s="12">
        <v>685</v>
      </c>
      <c r="N29" s="13">
        <v>39</v>
      </c>
      <c r="O29" s="19" t="s">
        <v>904</v>
      </c>
      <c r="Q29" t="s">
        <v>511</v>
      </c>
    </row>
    <row r="30" spans="3:17" x14ac:dyDescent="0.2">
      <c r="C30" s="1" t="s">
        <v>147</v>
      </c>
      <c r="D30" t="s">
        <v>324</v>
      </c>
      <c r="E30" t="s">
        <v>326</v>
      </c>
      <c r="F30" s="1" t="s">
        <v>356</v>
      </c>
      <c r="H30" s="12" t="s">
        <v>22</v>
      </c>
      <c r="I30" s="11" t="s">
        <v>1713</v>
      </c>
      <c r="J30" s="12" t="s">
        <v>24</v>
      </c>
      <c r="K30" s="13">
        <v>21.5</v>
      </c>
      <c r="L30" s="12">
        <v>384</v>
      </c>
      <c r="M30" s="12">
        <v>780</v>
      </c>
      <c r="N30" s="13">
        <v>39</v>
      </c>
      <c r="O30" s="19" t="s">
        <v>904</v>
      </c>
      <c r="Q30" t="s">
        <v>512</v>
      </c>
    </row>
    <row r="31" spans="3:17" x14ac:dyDescent="0.2">
      <c r="C31" s="1" t="s">
        <v>148</v>
      </c>
      <c r="D31" t="s">
        <v>324</v>
      </c>
      <c r="E31" t="s">
        <v>326</v>
      </c>
      <c r="F31" s="1" t="s">
        <v>357</v>
      </c>
      <c r="H31" s="12" t="s">
        <v>23</v>
      </c>
      <c r="I31" s="11" t="s">
        <v>1714</v>
      </c>
      <c r="J31" s="12" t="s">
        <v>24</v>
      </c>
      <c r="K31" s="13">
        <v>23.9</v>
      </c>
      <c r="L31" s="12">
        <v>480</v>
      </c>
      <c r="M31" s="12">
        <v>970</v>
      </c>
      <c r="N31" s="13">
        <v>39</v>
      </c>
      <c r="O31" s="19" t="s">
        <v>904</v>
      </c>
      <c r="Q31" t="s">
        <v>513</v>
      </c>
    </row>
    <row r="32" spans="3:17" ht="3.6" customHeight="1" x14ac:dyDescent="0.2">
      <c r="H32" s="15"/>
      <c r="I32" s="16"/>
      <c r="J32" s="15"/>
      <c r="K32" s="17"/>
      <c r="L32" s="15"/>
      <c r="M32" s="15"/>
      <c r="N32" s="17"/>
      <c r="O32" s="20"/>
    </row>
    <row r="33" spans="3:17" x14ac:dyDescent="0.2">
      <c r="C33" s="1" t="s">
        <v>94</v>
      </c>
      <c r="D33" t="s">
        <v>323</v>
      </c>
      <c r="E33" t="s">
        <v>325</v>
      </c>
      <c r="F33" s="1" t="s">
        <v>328</v>
      </c>
      <c r="H33" s="12" t="s">
        <v>167</v>
      </c>
      <c r="I33" s="11" t="s">
        <v>1715</v>
      </c>
      <c r="J33" s="12" t="s">
        <v>52</v>
      </c>
      <c r="K33" s="13">
        <v>5.5</v>
      </c>
      <c r="L33" s="13">
        <v>14.4</v>
      </c>
      <c r="M33" s="12">
        <v>43</v>
      </c>
      <c r="N33" s="13">
        <v>26</v>
      </c>
      <c r="O33" s="19">
        <v>19.170000000000002</v>
      </c>
      <c r="Q33" t="s">
        <v>514</v>
      </c>
    </row>
    <row r="34" spans="3:17" x14ac:dyDescent="0.2">
      <c r="C34" s="1" t="s">
        <v>95</v>
      </c>
      <c r="D34" t="s">
        <v>324</v>
      </c>
      <c r="E34" t="s">
        <v>326</v>
      </c>
      <c r="F34" s="1" t="s">
        <v>358</v>
      </c>
      <c r="H34" s="12" t="s">
        <v>25</v>
      </c>
      <c r="I34" s="11" t="s">
        <v>1716</v>
      </c>
      <c r="J34" s="12" t="s">
        <v>52</v>
      </c>
      <c r="K34" s="13">
        <v>5.7</v>
      </c>
      <c r="L34" s="13">
        <v>22</v>
      </c>
      <c r="M34" s="12">
        <v>61</v>
      </c>
      <c r="N34" s="13">
        <v>26</v>
      </c>
      <c r="O34" s="19">
        <v>26.02</v>
      </c>
      <c r="Q34" t="s">
        <v>515</v>
      </c>
    </row>
    <row r="35" spans="3:17" x14ac:dyDescent="0.2">
      <c r="C35" s="1" t="s">
        <v>96</v>
      </c>
      <c r="D35" t="s">
        <v>324</v>
      </c>
      <c r="E35" t="s">
        <v>326</v>
      </c>
      <c r="F35" s="1" t="s">
        <v>359</v>
      </c>
      <c r="H35" s="12" t="s">
        <v>26</v>
      </c>
      <c r="I35" s="11" t="s">
        <v>1717</v>
      </c>
      <c r="J35" s="12" t="s">
        <v>52</v>
      </c>
      <c r="K35" s="13">
        <v>6.2</v>
      </c>
      <c r="L35" s="13">
        <v>28.8</v>
      </c>
      <c r="M35" s="12">
        <v>75</v>
      </c>
      <c r="N35" s="13">
        <v>26</v>
      </c>
      <c r="O35" s="19">
        <v>34.270000000000003</v>
      </c>
      <c r="Q35" t="s">
        <v>516</v>
      </c>
    </row>
    <row r="36" spans="3:17" x14ac:dyDescent="0.2">
      <c r="C36" s="1" t="s">
        <v>97</v>
      </c>
      <c r="D36" t="s">
        <v>324</v>
      </c>
      <c r="E36" t="s">
        <v>326</v>
      </c>
      <c r="F36" s="1" t="s">
        <v>360</v>
      </c>
      <c r="H36" s="12" t="s">
        <v>27</v>
      </c>
      <c r="I36" s="11" t="s">
        <v>1718</v>
      </c>
      <c r="J36" s="12" t="s">
        <v>52</v>
      </c>
      <c r="K36" s="13">
        <v>6.9</v>
      </c>
      <c r="L36" s="13">
        <v>36</v>
      </c>
      <c r="M36" s="12">
        <v>100</v>
      </c>
      <c r="N36" s="13">
        <v>26</v>
      </c>
      <c r="O36" s="19">
        <v>42.5</v>
      </c>
      <c r="Q36" t="s">
        <v>517</v>
      </c>
    </row>
    <row r="37" spans="3:17" x14ac:dyDescent="0.2">
      <c r="C37" s="1" t="s">
        <v>98</v>
      </c>
      <c r="D37" t="s">
        <v>324</v>
      </c>
      <c r="E37" t="s">
        <v>326</v>
      </c>
      <c r="F37" s="1" t="s">
        <v>361</v>
      </c>
      <c r="H37" s="12" t="s">
        <v>28</v>
      </c>
      <c r="I37" s="11" t="s">
        <v>1719</v>
      </c>
      <c r="J37" s="12" t="s">
        <v>52</v>
      </c>
      <c r="K37" s="13">
        <v>7.6</v>
      </c>
      <c r="L37" s="13">
        <v>43.2</v>
      </c>
      <c r="M37" s="12">
        <v>115</v>
      </c>
      <c r="N37" s="13">
        <v>26</v>
      </c>
      <c r="O37" s="19">
        <v>54.1</v>
      </c>
      <c r="Q37" t="s">
        <v>518</v>
      </c>
    </row>
    <row r="38" spans="3:17" x14ac:dyDescent="0.2">
      <c r="C38" s="1" t="s">
        <v>99</v>
      </c>
      <c r="D38" t="s">
        <v>324</v>
      </c>
      <c r="E38" t="s">
        <v>326</v>
      </c>
      <c r="F38" s="1" t="s">
        <v>362</v>
      </c>
      <c r="H38" s="12" t="s">
        <v>29</v>
      </c>
      <c r="I38" s="11" t="s">
        <v>1720</v>
      </c>
      <c r="J38" s="12" t="s">
        <v>52</v>
      </c>
      <c r="K38" s="13">
        <v>7.6</v>
      </c>
      <c r="L38" s="13">
        <v>50</v>
      </c>
      <c r="M38" s="12">
        <v>125</v>
      </c>
      <c r="N38" s="13">
        <v>26</v>
      </c>
      <c r="O38" s="19">
        <v>60.19</v>
      </c>
      <c r="Q38" t="s">
        <v>519</v>
      </c>
    </row>
    <row r="39" spans="3:17" x14ac:dyDescent="0.2">
      <c r="C39" s="1" t="s">
        <v>100</v>
      </c>
      <c r="D39" t="s">
        <v>324</v>
      </c>
      <c r="E39" t="s">
        <v>326</v>
      </c>
      <c r="F39" s="1" t="s">
        <v>363</v>
      </c>
      <c r="H39" s="12" t="s">
        <v>30</v>
      </c>
      <c r="I39" s="11" t="s">
        <v>1721</v>
      </c>
      <c r="J39" s="12" t="s">
        <v>52</v>
      </c>
      <c r="K39" s="13">
        <v>8.9</v>
      </c>
      <c r="L39" s="13">
        <v>58</v>
      </c>
      <c r="M39" s="12">
        <v>140</v>
      </c>
      <c r="N39" s="13">
        <v>26</v>
      </c>
      <c r="O39" s="19">
        <v>70.430000000000007</v>
      </c>
      <c r="Q39" t="s">
        <v>520</v>
      </c>
    </row>
    <row r="40" spans="3:17" x14ac:dyDescent="0.2">
      <c r="C40" s="1" t="s">
        <v>101</v>
      </c>
      <c r="D40" t="s">
        <v>324</v>
      </c>
      <c r="E40" t="s">
        <v>326</v>
      </c>
      <c r="F40" s="1" t="s">
        <v>364</v>
      </c>
      <c r="H40" s="12" t="s">
        <v>31</v>
      </c>
      <c r="I40" s="11" t="s">
        <v>1722</v>
      </c>
      <c r="J40" s="12" t="s">
        <v>52</v>
      </c>
      <c r="K40" s="13">
        <v>9.6</v>
      </c>
      <c r="L40" s="13">
        <v>65</v>
      </c>
      <c r="M40" s="12">
        <v>150</v>
      </c>
      <c r="N40" s="13">
        <v>26</v>
      </c>
      <c r="O40" s="19">
        <v>80</v>
      </c>
      <c r="Q40" t="s">
        <v>521</v>
      </c>
    </row>
    <row r="41" spans="3:17" x14ac:dyDescent="0.2">
      <c r="C41" s="1" t="s">
        <v>102</v>
      </c>
      <c r="D41" t="s">
        <v>324</v>
      </c>
      <c r="E41" t="s">
        <v>326</v>
      </c>
      <c r="F41" s="1" t="s">
        <v>365</v>
      </c>
      <c r="H41" s="12" t="s">
        <v>32</v>
      </c>
      <c r="I41" s="11" t="s">
        <v>1723</v>
      </c>
      <c r="J41" s="12" t="s">
        <v>52</v>
      </c>
      <c r="K41" s="13">
        <v>9.9</v>
      </c>
      <c r="L41" s="13">
        <v>72</v>
      </c>
      <c r="M41" s="12">
        <v>170</v>
      </c>
      <c r="N41" s="13">
        <v>26</v>
      </c>
      <c r="O41" s="19">
        <v>89.5</v>
      </c>
      <c r="Q41" t="s">
        <v>522</v>
      </c>
    </row>
    <row r="42" spans="3:17" x14ac:dyDescent="0.2">
      <c r="C42" s="1" t="s">
        <v>103</v>
      </c>
      <c r="D42" t="s">
        <v>324</v>
      </c>
      <c r="E42" t="s">
        <v>326</v>
      </c>
      <c r="F42" s="1" t="s">
        <v>366</v>
      </c>
      <c r="H42" s="12" t="s">
        <v>33</v>
      </c>
      <c r="I42" s="11" t="s">
        <v>1724</v>
      </c>
      <c r="J42" s="12" t="s">
        <v>52</v>
      </c>
      <c r="K42" s="13">
        <v>10.199999999999999</v>
      </c>
      <c r="L42" s="13">
        <v>86</v>
      </c>
      <c r="M42" s="12">
        <v>210</v>
      </c>
      <c r="N42" s="13">
        <v>26</v>
      </c>
      <c r="O42" s="19">
        <v>103.36</v>
      </c>
      <c r="Q42" t="s">
        <v>523</v>
      </c>
    </row>
    <row r="43" spans="3:17" x14ac:dyDescent="0.2">
      <c r="C43" s="1" t="s">
        <v>149</v>
      </c>
      <c r="D43" t="s">
        <v>324</v>
      </c>
      <c r="E43" t="s">
        <v>326</v>
      </c>
      <c r="F43" s="1" t="s">
        <v>367</v>
      </c>
      <c r="H43" s="12" t="s">
        <v>34</v>
      </c>
      <c r="I43" s="11" t="s">
        <v>1725</v>
      </c>
      <c r="J43" s="12" t="s">
        <v>52</v>
      </c>
      <c r="K43" s="13">
        <v>10.9</v>
      </c>
      <c r="L43" s="12">
        <v>101</v>
      </c>
      <c r="M43" s="12">
        <v>225</v>
      </c>
      <c r="N43" s="13">
        <v>26</v>
      </c>
      <c r="O43" s="19">
        <v>119.77</v>
      </c>
      <c r="Q43" t="s">
        <v>524</v>
      </c>
    </row>
    <row r="44" spans="3:17" x14ac:dyDescent="0.2">
      <c r="C44" s="1" t="s">
        <v>150</v>
      </c>
      <c r="D44" t="s">
        <v>324</v>
      </c>
      <c r="E44" t="s">
        <v>326</v>
      </c>
      <c r="F44" s="1" t="s">
        <v>368</v>
      </c>
      <c r="H44" s="12" t="s">
        <v>168</v>
      </c>
      <c r="I44" s="11" t="s">
        <v>1726</v>
      </c>
      <c r="J44" s="12" t="s">
        <v>52</v>
      </c>
      <c r="K44" s="13">
        <v>11.2</v>
      </c>
      <c r="L44" s="12">
        <v>115</v>
      </c>
      <c r="M44" s="12">
        <v>240</v>
      </c>
      <c r="N44" s="13">
        <v>26</v>
      </c>
      <c r="O44" s="19">
        <v>138.82</v>
      </c>
      <c r="Q44" t="s">
        <v>525</v>
      </c>
    </row>
    <row r="45" spans="3:17" x14ac:dyDescent="0.2">
      <c r="C45" s="1" t="s">
        <v>151</v>
      </c>
      <c r="D45" t="s">
        <v>324</v>
      </c>
      <c r="E45" t="s">
        <v>326</v>
      </c>
      <c r="F45" s="1" t="s">
        <v>369</v>
      </c>
      <c r="H45" s="12" t="s">
        <v>35</v>
      </c>
      <c r="I45" s="11" t="s">
        <v>1727</v>
      </c>
      <c r="J45" s="12" t="s">
        <v>52</v>
      </c>
      <c r="K45" s="13">
        <v>12.1</v>
      </c>
      <c r="L45" s="12">
        <v>130</v>
      </c>
      <c r="M45" s="12">
        <v>280</v>
      </c>
      <c r="N45" s="13">
        <v>26</v>
      </c>
      <c r="O45" s="19">
        <v>154.11000000000001</v>
      </c>
      <c r="Q45" t="s">
        <v>526</v>
      </c>
    </row>
    <row r="46" spans="3:17" x14ac:dyDescent="0.2">
      <c r="C46" s="1" t="s">
        <v>152</v>
      </c>
      <c r="D46" t="s">
        <v>324</v>
      </c>
      <c r="E46" t="s">
        <v>326</v>
      </c>
      <c r="F46" s="1" t="s">
        <v>370</v>
      </c>
      <c r="H46" s="12" t="s">
        <v>36</v>
      </c>
      <c r="I46" s="11" t="s">
        <v>1728</v>
      </c>
      <c r="J46" s="12" t="s">
        <v>52</v>
      </c>
      <c r="K46" s="13">
        <v>13</v>
      </c>
      <c r="L46" s="12">
        <v>144</v>
      </c>
      <c r="M46" s="12">
        <v>310</v>
      </c>
      <c r="N46" s="13">
        <v>26</v>
      </c>
      <c r="O46" s="19">
        <f>O47*20/21</f>
        <v>179.53333333333333</v>
      </c>
      <c r="Q46" t="s">
        <v>527</v>
      </c>
    </row>
    <row r="47" spans="3:17" x14ac:dyDescent="0.2">
      <c r="C47" s="1" t="s">
        <v>153</v>
      </c>
      <c r="D47" t="s">
        <v>324</v>
      </c>
      <c r="E47" t="s">
        <v>326</v>
      </c>
      <c r="F47" s="1" t="s">
        <v>371</v>
      </c>
      <c r="H47" s="12" t="s">
        <v>37</v>
      </c>
      <c r="I47" s="11" t="s">
        <v>1729</v>
      </c>
      <c r="J47" s="12" t="s">
        <v>52</v>
      </c>
      <c r="K47" s="13">
        <v>13.4</v>
      </c>
      <c r="L47" s="12">
        <v>151</v>
      </c>
      <c r="M47" s="12">
        <v>325</v>
      </c>
      <c r="N47" s="13">
        <v>26</v>
      </c>
      <c r="O47" s="19">
        <v>188.51</v>
      </c>
      <c r="Q47" t="s">
        <v>528</v>
      </c>
    </row>
    <row r="48" spans="3:17" x14ac:dyDescent="0.2">
      <c r="C48" s="1" t="s">
        <v>154</v>
      </c>
      <c r="D48" t="s">
        <v>324</v>
      </c>
      <c r="E48" t="s">
        <v>326</v>
      </c>
      <c r="F48" s="1" t="s">
        <v>372</v>
      </c>
      <c r="H48" s="12" t="s">
        <v>38</v>
      </c>
      <c r="I48" s="11" t="s">
        <v>1730</v>
      </c>
      <c r="J48" s="12" t="s">
        <v>52</v>
      </c>
      <c r="K48" s="13">
        <v>14.2</v>
      </c>
      <c r="L48" s="12">
        <v>180</v>
      </c>
      <c r="M48" s="12">
        <v>370</v>
      </c>
      <c r="N48" s="13">
        <v>26</v>
      </c>
      <c r="O48" s="19">
        <v>207.2</v>
      </c>
      <c r="Q48" t="s">
        <v>529</v>
      </c>
    </row>
    <row r="49" spans="3:17" x14ac:dyDescent="0.2">
      <c r="C49" s="1" t="s">
        <v>155</v>
      </c>
      <c r="D49" t="s">
        <v>324</v>
      </c>
      <c r="E49" t="s">
        <v>326</v>
      </c>
      <c r="F49" s="1" t="s">
        <v>373</v>
      </c>
      <c r="H49" s="12" t="s">
        <v>39</v>
      </c>
      <c r="I49" s="11" t="s">
        <v>1731</v>
      </c>
      <c r="J49" s="12" t="s">
        <v>52</v>
      </c>
      <c r="K49" s="13">
        <v>15.1</v>
      </c>
      <c r="L49" s="12">
        <v>216</v>
      </c>
      <c r="M49" s="12">
        <v>440</v>
      </c>
      <c r="N49" s="13">
        <v>26</v>
      </c>
      <c r="O49" s="19">
        <v>258.74</v>
      </c>
      <c r="Q49" t="s">
        <v>530</v>
      </c>
    </row>
    <row r="50" spans="3:17" x14ac:dyDescent="0.2">
      <c r="C50" s="1" t="s">
        <v>156</v>
      </c>
      <c r="D50" t="s">
        <v>324</v>
      </c>
      <c r="E50" t="s">
        <v>326</v>
      </c>
      <c r="F50" s="1" t="s">
        <v>374</v>
      </c>
      <c r="H50" s="12" t="s">
        <v>40</v>
      </c>
      <c r="I50" s="11" t="s">
        <v>1732</v>
      </c>
      <c r="J50" s="12" t="s">
        <v>52</v>
      </c>
      <c r="K50" s="13">
        <v>16.100000000000001</v>
      </c>
      <c r="L50" s="12">
        <v>223</v>
      </c>
      <c r="M50" s="12">
        <v>455</v>
      </c>
      <c r="N50" s="13">
        <v>26</v>
      </c>
      <c r="O50" s="19">
        <v>262</v>
      </c>
      <c r="Q50" t="s">
        <v>531</v>
      </c>
    </row>
    <row r="51" spans="3:17" x14ac:dyDescent="0.2">
      <c r="C51" s="1" t="s">
        <v>157</v>
      </c>
      <c r="D51" t="s">
        <v>324</v>
      </c>
      <c r="E51" t="s">
        <v>326</v>
      </c>
      <c r="F51" s="1" t="s">
        <v>375</v>
      </c>
      <c r="H51" s="12" t="s">
        <v>41</v>
      </c>
      <c r="I51" s="11" t="s">
        <v>1733</v>
      </c>
      <c r="J51" s="12" t="s">
        <v>52</v>
      </c>
      <c r="K51" s="13">
        <v>16.2</v>
      </c>
      <c r="L51" s="12">
        <v>230</v>
      </c>
      <c r="M51" s="12">
        <v>460</v>
      </c>
      <c r="N51" s="13">
        <v>26</v>
      </c>
      <c r="O51" s="19">
        <v>264.17</v>
      </c>
      <c r="Q51" t="s">
        <v>532</v>
      </c>
    </row>
    <row r="52" spans="3:17" x14ac:dyDescent="0.2">
      <c r="C52" s="1" t="s">
        <v>158</v>
      </c>
      <c r="D52" t="s">
        <v>324</v>
      </c>
      <c r="E52" t="s">
        <v>326</v>
      </c>
      <c r="F52" s="1" t="s">
        <v>376</v>
      </c>
      <c r="H52" s="12" t="s">
        <v>42</v>
      </c>
      <c r="I52" s="11" t="s">
        <v>1734</v>
      </c>
      <c r="J52" s="12" t="s">
        <v>52</v>
      </c>
      <c r="K52" s="13">
        <v>16.3</v>
      </c>
      <c r="L52" s="12">
        <v>245</v>
      </c>
      <c r="M52" s="12">
        <v>500</v>
      </c>
      <c r="N52" s="13">
        <v>26</v>
      </c>
      <c r="O52" s="19">
        <v>309.20999999999998</v>
      </c>
      <c r="Q52" t="s">
        <v>533</v>
      </c>
    </row>
    <row r="53" spans="3:17" x14ac:dyDescent="0.2">
      <c r="C53" s="1" t="s">
        <v>159</v>
      </c>
      <c r="D53" t="s">
        <v>324</v>
      </c>
      <c r="E53" t="s">
        <v>326</v>
      </c>
      <c r="F53" s="1" t="s">
        <v>377</v>
      </c>
      <c r="H53" s="12" t="s">
        <v>43</v>
      </c>
      <c r="I53" s="11" t="s">
        <v>1735</v>
      </c>
      <c r="J53" s="12" t="s">
        <v>52</v>
      </c>
      <c r="K53" s="13">
        <v>16.5</v>
      </c>
      <c r="L53" s="12">
        <v>260</v>
      </c>
      <c r="M53" s="12">
        <v>535</v>
      </c>
      <c r="N53" s="13">
        <v>26</v>
      </c>
      <c r="O53" s="19">
        <v>347</v>
      </c>
      <c r="Q53" t="s">
        <v>534</v>
      </c>
    </row>
    <row r="54" spans="3:17" x14ac:dyDescent="0.2">
      <c r="C54" s="1" t="s">
        <v>160</v>
      </c>
      <c r="D54" t="s">
        <v>324</v>
      </c>
      <c r="E54" t="s">
        <v>326</v>
      </c>
      <c r="F54" s="1" t="s">
        <v>378</v>
      </c>
      <c r="H54" s="12" t="s">
        <v>44</v>
      </c>
      <c r="I54" s="11" t="s">
        <v>1736</v>
      </c>
      <c r="J54" s="12" t="s">
        <v>52</v>
      </c>
      <c r="K54" s="13">
        <v>17.5</v>
      </c>
      <c r="L54" s="12">
        <v>288</v>
      </c>
      <c r="M54" s="12">
        <v>570</v>
      </c>
      <c r="N54" s="13">
        <v>26</v>
      </c>
      <c r="O54" s="19">
        <f>O56/42*40</f>
        <v>383.7619047619047</v>
      </c>
      <c r="Q54" t="s">
        <v>535</v>
      </c>
    </row>
    <row r="55" spans="3:17" x14ac:dyDescent="0.2">
      <c r="C55" s="1" t="s">
        <v>161</v>
      </c>
      <c r="D55" t="s">
        <v>324</v>
      </c>
      <c r="E55" t="s">
        <v>326</v>
      </c>
      <c r="F55" s="1" t="s">
        <v>379</v>
      </c>
      <c r="H55" s="12" t="s">
        <v>45</v>
      </c>
      <c r="I55" s="11" t="s">
        <v>1737</v>
      </c>
      <c r="J55" s="12" t="s">
        <v>52</v>
      </c>
      <c r="K55" s="13">
        <v>17.7</v>
      </c>
      <c r="L55" s="12">
        <v>296</v>
      </c>
      <c r="M55" s="12">
        <v>580</v>
      </c>
      <c r="N55" s="13">
        <v>26</v>
      </c>
      <c r="O55" s="19">
        <f>O56/42*41</f>
        <v>393.35595238095237</v>
      </c>
      <c r="Q55" t="s">
        <v>536</v>
      </c>
    </row>
    <row r="56" spans="3:17" x14ac:dyDescent="0.2">
      <c r="C56" s="1" t="s">
        <v>162</v>
      </c>
      <c r="D56" t="s">
        <v>324</v>
      </c>
      <c r="E56" t="s">
        <v>326</v>
      </c>
      <c r="F56" s="1" t="s">
        <v>380</v>
      </c>
      <c r="H56" s="12" t="s">
        <v>46</v>
      </c>
      <c r="I56" s="11" t="s">
        <v>1738</v>
      </c>
      <c r="J56" s="12" t="s">
        <v>52</v>
      </c>
      <c r="K56" s="13">
        <v>17.8</v>
      </c>
      <c r="L56" s="12">
        <v>302</v>
      </c>
      <c r="M56" s="12">
        <v>590</v>
      </c>
      <c r="N56" s="13">
        <v>26</v>
      </c>
      <c r="O56" s="19">
        <v>402.95</v>
      </c>
      <c r="Q56" t="s">
        <v>537</v>
      </c>
    </row>
    <row r="57" spans="3:17" x14ac:dyDescent="0.2">
      <c r="C57" s="1" t="s">
        <v>163</v>
      </c>
      <c r="D57" t="s">
        <v>324</v>
      </c>
      <c r="E57" t="s">
        <v>326</v>
      </c>
      <c r="F57" s="1" t="s">
        <v>381</v>
      </c>
      <c r="H57" s="12" t="s">
        <v>47</v>
      </c>
      <c r="I57" s="11" t="s">
        <v>1739</v>
      </c>
      <c r="J57" s="12" t="s">
        <v>52</v>
      </c>
      <c r="K57" s="13">
        <v>19.5</v>
      </c>
      <c r="L57" s="12">
        <v>360</v>
      </c>
      <c r="M57" s="12">
        <v>640</v>
      </c>
      <c r="N57" s="13">
        <v>26</v>
      </c>
      <c r="O57" s="19">
        <v>541.88</v>
      </c>
      <c r="Q57" t="s">
        <v>538</v>
      </c>
    </row>
    <row r="58" spans="3:17" x14ac:dyDescent="0.2">
      <c r="C58" s="1" t="s">
        <v>173</v>
      </c>
      <c r="D58" t="s">
        <v>324</v>
      </c>
      <c r="E58" t="s">
        <v>326</v>
      </c>
      <c r="F58" s="1" t="s">
        <v>382</v>
      </c>
      <c r="H58" s="12" t="s">
        <v>48</v>
      </c>
      <c r="I58" s="11" t="s">
        <v>1740</v>
      </c>
      <c r="J58" s="12" t="s">
        <v>52</v>
      </c>
      <c r="K58" s="13">
        <v>20.8</v>
      </c>
      <c r="L58" s="12">
        <v>439</v>
      </c>
      <c r="M58" s="12">
        <v>775</v>
      </c>
      <c r="N58" s="13">
        <v>26</v>
      </c>
      <c r="O58" s="19">
        <v>665.89</v>
      </c>
      <c r="Q58" t="s">
        <v>539</v>
      </c>
    </row>
    <row r="59" spans="3:17" x14ac:dyDescent="0.2">
      <c r="C59" s="1" t="s">
        <v>174</v>
      </c>
      <c r="D59" t="s">
        <v>324</v>
      </c>
      <c r="E59" t="s">
        <v>326</v>
      </c>
      <c r="F59" s="1" t="s">
        <v>383</v>
      </c>
      <c r="H59" s="12" t="s">
        <v>49</v>
      </c>
      <c r="I59" s="11" t="s">
        <v>1741</v>
      </c>
      <c r="J59" s="12" t="s">
        <v>52</v>
      </c>
      <c r="K59" s="13">
        <v>21.9</v>
      </c>
      <c r="L59" s="12">
        <v>468</v>
      </c>
      <c r="M59" s="12">
        <v>895</v>
      </c>
      <c r="N59" s="13">
        <v>26</v>
      </c>
      <c r="O59" s="19" t="s">
        <v>904</v>
      </c>
      <c r="Q59" t="s">
        <v>540</v>
      </c>
    </row>
    <row r="60" spans="3:17" x14ac:dyDescent="0.2">
      <c r="C60" s="1" t="s">
        <v>175</v>
      </c>
      <c r="D60" t="s">
        <v>324</v>
      </c>
      <c r="E60" t="s">
        <v>326</v>
      </c>
      <c r="F60" s="1" t="s">
        <v>384</v>
      </c>
      <c r="H60" s="12" t="s">
        <v>50</v>
      </c>
      <c r="I60" s="11" t="s">
        <v>1742</v>
      </c>
      <c r="J60" s="12" t="s">
        <v>52</v>
      </c>
      <c r="K60" s="13">
        <v>24</v>
      </c>
      <c r="L60" s="12">
        <v>576</v>
      </c>
      <c r="M60" s="12">
        <v>1155</v>
      </c>
      <c r="N60" s="13">
        <v>26</v>
      </c>
      <c r="O60" s="19" t="s">
        <v>904</v>
      </c>
      <c r="Q60" t="s">
        <v>541</v>
      </c>
    </row>
    <row r="61" spans="3:17" x14ac:dyDescent="0.2">
      <c r="C61" s="1" t="s">
        <v>176</v>
      </c>
      <c r="D61" t="s">
        <v>324</v>
      </c>
      <c r="E61" t="s">
        <v>326</v>
      </c>
      <c r="F61" s="1" t="s">
        <v>385</v>
      </c>
      <c r="H61" s="12" t="s">
        <v>51</v>
      </c>
      <c r="I61" s="11" t="s">
        <v>1743</v>
      </c>
      <c r="J61" s="12" t="s">
        <v>52</v>
      </c>
      <c r="K61" s="13">
        <v>26.4</v>
      </c>
      <c r="L61" s="12">
        <v>720</v>
      </c>
      <c r="M61" s="12">
        <v>1310</v>
      </c>
      <c r="N61" s="13">
        <v>26</v>
      </c>
      <c r="O61" s="19" t="s">
        <v>904</v>
      </c>
      <c r="Q61" t="s">
        <v>542</v>
      </c>
    </row>
    <row r="62" spans="3:17" ht="3.6" customHeight="1" x14ac:dyDescent="0.2">
      <c r="H62" s="15"/>
      <c r="I62" s="16"/>
      <c r="J62" s="15"/>
      <c r="K62" s="17"/>
      <c r="L62" s="15"/>
      <c r="M62" s="15"/>
      <c r="N62" s="15"/>
      <c r="O62" s="20"/>
    </row>
    <row r="63" spans="3:17" x14ac:dyDescent="0.2">
      <c r="C63" s="1" t="s">
        <v>104</v>
      </c>
      <c r="D63" t="s">
        <v>323</v>
      </c>
      <c r="E63" t="s">
        <v>325</v>
      </c>
      <c r="F63" s="1" t="s">
        <v>329</v>
      </c>
      <c r="H63" s="12" t="s">
        <v>204</v>
      </c>
      <c r="I63" s="11" t="s">
        <v>1744</v>
      </c>
      <c r="J63" s="12" t="s">
        <v>84</v>
      </c>
      <c r="K63" s="13">
        <v>5.8</v>
      </c>
      <c r="L63" s="12">
        <v>19.2</v>
      </c>
      <c r="M63" s="12">
        <v>57</v>
      </c>
      <c r="N63" s="12">
        <v>19.5</v>
      </c>
      <c r="O63" s="19">
        <v>23.52</v>
      </c>
      <c r="Q63" t="s">
        <v>543</v>
      </c>
    </row>
    <row r="64" spans="3:17" x14ac:dyDescent="0.2">
      <c r="C64" s="1" t="s">
        <v>105</v>
      </c>
      <c r="D64" t="s">
        <v>324</v>
      </c>
      <c r="E64" t="s">
        <v>326</v>
      </c>
      <c r="F64" s="1" t="s">
        <v>386</v>
      </c>
      <c r="H64" s="12" t="s">
        <v>53</v>
      </c>
      <c r="I64" s="11" t="s">
        <v>1745</v>
      </c>
      <c r="J64" s="12" t="s">
        <v>84</v>
      </c>
      <c r="K64" s="13">
        <v>6.3</v>
      </c>
      <c r="L64" s="12">
        <v>28.8</v>
      </c>
      <c r="M64" s="12">
        <v>80</v>
      </c>
      <c r="N64" s="12">
        <v>19.5</v>
      </c>
      <c r="O64" s="19">
        <v>32.06</v>
      </c>
      <c r="Q64" t="s">
        <v>544</v>
      </c>
    </row>
    <row r="65" spans="3:17" x14ac:dyDescent="0.2">
      <c r="C65" s="1" t="s">
        <v>106</v>
      </c>
      <c r="D65" t="s">
        <v>324</v>
      </c>
      <c r="E65" t="s">
        <v>326</v>
      </c>
      <c r="F65" s="1" t="s">
        <v>387</v>
      </c>
      <c r="H65" s="12" t="s">
        <v>54</v>
      </c>
      <c r="I65" s="11" t="s">
        <v>1746</v>
      </c>
      <c r="J65" s="12" t="s">
        <v>84</v>
      </c>
      <c r="K65" s="13">
        <v>6.7</v>
      </c>
      <c r="L65" s="12">
        <v>38.4</v>
      </c>
      <c r="M65" s="12">
        <v>105</v>
      </c>
      <c r="N65" s="12">
        <v>19.5</v>
      </c>
      <c r="O65" s="19">
        <v>43.32</v>
      </c>
      <c r="Q65" t="s">
        <v>545</v>
      </c>
    </row>
    <row r="66" spans="3:17" x14ac:dyDescent="0.2">
      <c r="C66" s="1" t="s">
        <v>107</v>
      </c>
      <c r="D66" t="s">
        <v>324</v>
      </c>
      <c r="E66" t="s">
        <v>326</v>
      </c>
      <c r="F66" s="1" t="s">
        <v>388</v>
      </c>
      <c r="H66" s="12" t="s">
        <v>55</v>
      </c>
      <c r="I66" s="11" t="s">
        <v>1747</v>
      </c>
      <c r="J66" s="12" t="s">
        <v>84</v>
      </c>
      <c r="K66" s="13">
        <v>7.3</v>
      </c>
      <c r="L66" s="13">
        <v>48</v>
      </c>
      <c r="M66" s="12">
        <v>125</v>
      </c>
      <c r="N66" s="12">
        <v>19.5</v>
      </c>
      <c r="O66" s="19">
        <v>53.51</v>
      </c>
      <c r="Q66" t="s">
        <v>546</v>
      </c>
    </row>
    <row r="67" spans="3:17" x14ac:dyDescent="0.2">
      <c r="C67" s="1" t="s">
        <v>108</v>
      </c>
      <c r="D67" t="s">
        <v>324</v>
      </c>
      <c r="E67" t="s">
        <v>326</v>
      </c>
      <c r="F67" s="1" t="s">
        <v>389</v>
      </c>
      <c r="H67" s="12" t="s">
        <v>56</v>
      </c>
      <c r="I67" s="11" t="s">
        <v>1748</v>
      </c>
      <c r="J67" s="12" t="s">
        <v>84</v>
      </c>
      <c r="K67" s="13">
        <v>8.1</v>
      </c>
      <c r="L67" s="13">
        <v>57.6</v>
      </c>
      <c r="M67" s="12">
        <v>135</v>
      </c>
      <c r="N67" s="12">
        <v>19.5</v>
      </c>
      <c r="O67" s="19">
        <v>68</v>
      </c>
      <c r="Q67" t="s">
        <v>547</v>
      </c>
    </row>
    <row r="68" spans="3:17" x14ac:dyDescent="0.2">
      <c r="C68" s="1" t="s">
        <v>109</v>
      </c>
      <c r="D68" t="s">
        <v>324</v>
      </c>
      <c r="E68" t="s">
        <v>326</v>
      </c>
      <c r="F68" s="1" t="s">
        <v>390</v>
      </c>
      <c r="H68" s="12" t="s">
        <v>57</v>
      </c>
      <c r="I68" s="11" t="s">
        <v>1749</v>
      </c>
      <c r="J68" s="12" t="s">
        <v>84</v>
      </c>
      <c r="K68" s="13">
        <v>8.3000000000000007</v>
      </c>
      <c r="L68" s="13">
        <v>67</v>
      </c>
      <c r="M68" s="12">
        <v>150</v>
      </c>
      <c r="N68" s="12">
        <v>19.5</v>
      </c>
      <c r="O68" s="19">
        <v>77.34</v>
      </c>
      <c r="Q68" t="s">
        <v>548</v>
      </c>
    </row>
    <row r="69" spans="3:17" x14ac:dyDescent="0.2">
      <c r="C69" s="1" t="s">
        <v>110</v>
      </c>
      <c r="D69" t="s">
        <v>324</v>
      </c>
      <c r="E69" t="s">
        <v>326</v>
      </c>
      <c r="F69" s="1" t="s">
        <v>391</v>
      </c>
      <c r="H69" s="12" t="s">
        <v>58</v>
      </c>
      <c r="I69" s="11" t="s">
        <v>1750</v>
      </c>
      <c r="J69" s="12" t="s">
        <v>84</v>
      </c>
      <c r="K69" s="13">
        <v>9.5</v>
      </c>
      <c r="L69" s="13">
        <v>77</v>
      </c>
      <c r="M69" s="12">
        <v>175</v>
      </c>
      <c r="N69" s="12">
        <v>19.5</v>
      </c>
      <c r="O69" s="19">
        <v>88.97</v>
      </c>
      <c r="Q69" t="s">
        <v>549</v>
      </c>
    </row>
    <row r="70" spans="3:17" x14ac:dyDescent="0.2">
      <c r="C70" s="1" t="s">
        <v>111</v>
      </c>
      <c r="D70" t="s">
        <v>324</v>
      </c>
      <c r="E70" t="s">
        <v>326</v>
      </c>
      <c r="F70" s="1" t="s">
        <v>392</v>
      </c>
      <c r="H70" s="12" t="s">
        <v>59</v>
      </c>
      <c r="I70" s="11" t="s">
        <v>1751</v>
      </c>
      <c r="J70" s="12" t="s">
        <v>84</v>
      </c>
      <c r="K70" s="13">
        <v>10.3</v>
      </c>
      <c r="L70" s="13">
        <v>86.4</v>
      </c>
      <c r="M70" s="12">
        <v>200</v>
      </c>
      <c r="N70" s="12">
        <v>19.5</v>
      </c>
      <c r="O70" s="19">
        <v>100</v>
      </c>
      <c r="Q70" t="s">
        <v>550</v>
      </c>
    </row>
    <row r="71" spans="3:17" x14ac:dyDescent="0.2">
      <c r="C71" s="1" t="s">
        <v>112</v>
      </c>
      <c r="D71" t="s">
        <v>324</v>
      </c>
      <c r="E71" t="s">
        <v>326</v>
      </c>
      <c r="F71" s="1" t="s">
        <v>393</v>
      </c>
      <c r="H71" s="12" t="s">
        <v>60</v>
      </c>
      <c r="I71" s="11" t="s">
        <v>1752</v>
      </c>
      <c r="J71" s="12" t="s">
        <v>84</v>
      </c>
      <c r="K71" s="13">
        <v>10.5</v>
      </c>
      <c r="L71" s="13">
        <v>96</v>
      </c>
      <c r="M71" s="12">
        <v>220</v>
      </c>
      <c r="N71" s="12">
        <v>19.5</v>
      </c>
      <c r="O71" s="19">
        <v>110.81</v>
      </c>
      <c r="Q71" t="s">
        <v>551</v>
      </c>
    </row>
    <row r="72" spans="3:17" x14ac:dyDescent="0.2">
      <c r="C72" s="1" t="s">
        <v>113</v>
      </c>
      <c r="D72" t="s">
        <v>324</v>
      </c>
      <c r="E72" t="s">
        <v>326</v>
      </c>
      <c r="F72" s="1" t="s">
        <v>394</v>
      </c>
      <c r="H72" s="12" t="s">
        <v>61</v>
      </c>
      <c r="I72" s="11" t="s">
        <v>1753</v>
      </c>
      <c r="J72" s="12" t="s">
        <v>84</v>
      </c>
      <c r="K72" s="13">
        <v>10.8</v>
      </c>
      <c r="L72" s="12">
        <v>115</v>
      </c>
      <c r="M72" s="12">
        <v>260</v>
      </c>
      <c r="N72" s="12">
        <v>19.5</v>
      </c>
      <c r="O72" s="19">
        <v>132.76</v>
      </c>
      <c r="Q72" t="s">
        <v>552</v>
      </c>
    </row>
    <row r="73" spans="3:17" x14ac:dyDescent="0.2">
      <c r="C73" s="1" t="s">
        <v>177</v>
      </c>
      <c r="D73" t="s">
        <v>324</v>
      </c>
      <c r="E73" t="s">
        <v>326</v>
      </c>
      <c r="F73" s="1" t="s">
        <v>395</v>
      </c>
      <c r="H73" s="12" t="s">
        <v>62</v>
      </c>
      <c r="I73" s="11" t="s">
        <v>1754</v>
      </c>
      <c r="J73" s="12" t="s">
        <v>84</v>
      </c>
      <c r="K73" s="13">
        <v>11.6</v>
      </c>
      <c r="L73" s="12">
        <v>134</v>
      </c>
      <c r="M73" s="12">
        <v>290</v>
      </c>
      <c r="N73" s="12">
        <v>19.5</v>
      </c>
      <c r="O73" s="19">
        <v>156.33000000000001</v>
      </c>
      <c r="Q73" t="s">
        <v>553</v>
      </c>
    </row>
    <row r="74" spans="3:17" x14ac:dyDescent="0.2">
      <c r="C74" s="1" t="s">
        <v>178</v>
      </c>
      <c r="D74" t="s">
        <v>324</v>
      </c>
      <c r="E74" t="s">
        <v>326</v>
      </c>
      <c r="F74" s="1" t="s">
        <v>396</v>
      </c>
      <c r="H74" s="12" t="s">
        <v>63</v>
      </c>
      <c r="I74" s="11" t="s">
        <v>1755</v>
      </c>
      <c r="J74" s="12" t="s">
        <v>84</v>
      </c>
      <c r="K74" s="13">
        <v>12.1</v>
      </c>
      <c r="L74" s="12">
        <v>154</v>
      </c>
      <c r="M74" s="12">
        <v>320</v>
      </c>
      <c r="N74" s="12">
        <v>19.5</v>
      </c>
      <c r="O74" s="19">
        <v>182</v>
      </c>
      <c r="Q74" t="s">
        <v>554</v>
      </c>
    </row>
    <row r="75" spans="3:17" x14ac:dyDescent="0.2">
      <c r="C75" s="1" t="s">
        <v>179</v>
      </c>
      <c r="D75" t="s">
        <v>324</v>
      </c>
      <c r="E75" t="s">
        <v>326</v>
      </c>
      <c r="F75" s="1" t="s">
        <v>397</v>
      </c>
      <c r="H75" s="12" t="s">
        <v>64</v>
      </c>
      <c r="I75" s="11" t="s">
        <v>1756</v>
      </c>
      <c r="J75" s="12" t="s">
        <v>84</v>
      </c>
      <c r="K75" s="13">
        <v>12.9</v>
      </c>
      <c r="L75" s="12">
        <v>173</v>
      </c>
      <c r="M75" s="12">
        <v>350</v>
      </c>
      <c r="N75" s="12">
        <v>19.5</v>
      </c>
      <c r="O75" s="19">
        <v>199.23</v>
      </c>
      <c r="Q75" t="s">
        <v>555</v>
      </c>
    </row>
    <row r="76" spans="3:17" x14ac:dyDescent="0.2">
      <c r="C76" s="1" t="s">
        <v>180</v>
      </c>
      <c r="D76" t="s">
        <v>324</v>
      </c>
      <c r="E76" t="s">
        <v>326</v>
      </c>
      <c r="F76" s="1" t="s">
        <v>398</v>
      </c>
      <c r="H76" s="12" t="s">
        <v>65</v>
      </c>
      <c r="I76" s="11" t="s">
        <v>1757</v>
      </c>
      <c r="J76" s="12" t="s">
        <v>84</v>
      </c>
      <c r="K76" s="13">
        <v>13</v>
      </c>
      <c r="L76" s="12">
        <v>182</v>
      </c>
      <c r="M76" s="12">
        <v>360</v>
      </c>
      <c r="N76" s="12">
        <v>19.5</v>
      </c>
      <c r="O76" s="19">
        <v>209</v>
      </c>
      <c r="Q76" t="s">
        <v>556</v>
      </c>
    </row>
    <row r="77" spans="3:17" x14ac:dyDescent="0.2">
      <c r="C77" s="1" t="s">
        <v>181</v>
      </c>
      <c r="D77" t="s">
        <v>324</v>
      </c>
      <c r="E77" t="s">
        <v>326</v>
      </c>
      <c r="F77" s="1" t="s">
        <v>399</v>
      </c>
      <c r="H77" s="12" t="s">
        <v>66</v>
      </c>
      <c r="I77" s="11" t="s">
        <v>1758</v>
      </c>
      <c r="J77" s="12" t="s">
        <v>84</v>
      </c>
      <c r="K77" s="13">
        <v>13.7</v>
      </c>
      <c r="L77" s="12">
        <v>192</v>
      </c>
      <c r="M77" s="12">
        <v>370</v>
      </c>
      <c r="N77" s="12">
        <v>19.5</v>
      </c>
      <c r="O77" s="19">
        <v>218</v>
      </c>
      <c r="Q77" t="s">
        <v>557</v>
      </c>
    </row>
    <row r="78" spans="3:17" x14ac:dyDescent="0.2">
      <c r="C78" s="1" t="s">
        <v>182</v>
      </c>
      <c r="D78" t="s">
        <v>324</v>
      </c>
      <c r="E78" t="s">
        <v>326</v>
      </c>
      <c r="F78" s="1" t="s">
        <v>400</v>
      </c>
      <c r="H78" s="12" t="s">
        <v>67</v>
      </c>
      <c r="I78" s="11" t="s">
        <v>1759</v>
      </c>
      <c r="J78" s="12" t="s">
        <v>84</v>
      </c>
      <c r="K78" s="13">
        <v>14.1</v>
      </c>
      <c r="L78" s="12">
        <v>205</v>
      </c>
      <c r="M78" s="12">
        <v>380</v>
      </c>
      <c r="N78" s="12">
        <v>19.5</v>
      </c>
      <c r="O78" s="19">
        <v>241.01</v>
      </c>
      <c r="Q78" t="s">
        <v>558</v>
      </c>
    </row>
    <row r="79" spans="3:17" x14ac:dyDescent="0.2">
      <c r="C79" s="1" t="s">
        <v>183</v>
      </c>
      <c r="D79" t="s">
        <v>324</v>
      </c>
      <c r="E79" t="s">
        <v>326</v>
      </c>
      <c r="F79" s="1" t="s">
        <v>401</v>
      </c>
      <c r="H79" s="12" t="s">
        <v>68</v>
      </c>
      <c r="I79" s="11" t="s">
        <v>1760</v>
      </c>
      <c r="J79" s="12" t="s">
        <v>84</v>
      </c>
      <c r="K79" s="13">
        <v>14.6</v>
      </c>
      <c r="L79" s="12">
        <v>236</v>
      </c>
      <c r="M79" s="12">
        <v>445</v>
      </c>
      <c r="N79" s="12">
        <v>19.5</v>
      </c>
      <c r="O79" s="19">
        <f>O80/25*24</f>
        <v>271.86239999999998</v>
      </c>
      <c r="Q79" t="s">
        <v>559</v>
      </c>
    </row>
    <row r="80" spans="3:17" x14ac:dyDescent="0.2">
      <c r="C80" s="1" t="s">
        <v>184</v>
      </c>
      <c r="D80" t="s">
        <v>324</v>
      </c>
      <c r="E80" t="s">
        <v>326</v>
      </c>
      <c r="F80" s="1" t="s">
        <v>402</v>
      </c>
      <c r="H80" s="12" t="s">
        <v>69</v>
      </c>
      <c r="I80" s="11" t="s">
        <v>1761</v>
      </c>
      <c r="J80" s="12" t="s">
        <v>84</v>
      </c>
      <c r="K80" s="13">
        <v>14.8</v>
      </c>
      <c r="L80" s="12">
        <v>240</v>
      </c>
      <c r="M80" s="12">
        <v>470</v>
      </c>
      <c r="N80" s="12">
        <v>19.5</v>
      </c>
      <c r="O80" s="19">
        <v>283.19</v>
      </c>
      <c r="Q80" t="s">
        <v>560</v>
      </c>
    </row>
    <row r="81" spans="3:17" x14ac:dyDescent="0.2">
      <c r="C81" s="1" t="s">
        <v>185</v>
      </c>
      <c r="D81" t="s">
        <v>324</v>
      </c>
      <c r="E81" t="s">
        <v>326</v>
      </c>
      <c r="F81" s="1" t="s">
        <v>403</v>
      </c>
      <c r="H81" s="12" t="s">
        <v>70</v>
      </c>
      <c r="I81" s="11" t="s">
        <v>1762</v>
      </c>
      <c r="J81" s="12" t="s">
        <v>84</v>
      </c>
      <c r="K81" s="13">
        <v>15.2</v>
      </c>
      <c r="L81" s="12">
        <v>252</v>
      </c>
      <c r="M81" s="12">
        <v>495</v>
      </c>
      <c r="N81" s="12">
        <v>19.5</v>
      </c>
      <c r="O81" s="19">
        <v>296</v>
      </c>
      <c r="Q81" t="s">
        <v>561</v>
      </c>
    </row>
    <row r="82" spans="3:17" x14ac:dyDescent="0.2">
      <c r="C82" s="1" t="s">
        <v>186</v>
      </c>
      <c r="D82" t="s">
        <v>324</v>
      </c>
      <c r="E82" t="s">
        <v>326</v>
      </c>
      <c r="F82" s="1" t="s">
        <v>404</v>
      </c>
      <c r="H82" s="12" t="s">
        <v>71</v>
      </c>
      <c r="I82" s="11" t="s">
        <v>1763</v>
      </c>
      <c r="J82" s="12" t="s">
        <v>84</v>
      </c>
      <c r="K82" s="13">
        <v>15.9</v>
      </c>
      <c r="L82" s="12">
        <v>259</v>
      </c>
      <c r="M82" s="12">
        <v>530</v>
      </c>
      <c r="N82" s="12">
        <v>19.5</v>
      </c>
      <c r="O82" s="19">
        <v>307.57</v>
      </c>
      <c r="Q82" t="s">
        <v>562</v>
      </c>
    </row>
    <row r="83" spans="3:17" x14ac:dyDescent="0.2">
      <c r="C83" s="1" t="s">
        <v>187</v>
      </c>
      <c r="D83" t="s">
        <v>324</v>
      </c>
      <c r="E83" t="s">
        <v>326</v>
      </c>
      <c r="F83" s="1" t="s">
        <v>405</v>
      </c>
      <c r="H83" s="12" t="s">
        <v>72</v>
      </c>
      <c r="I83" s="11" t="s">
        <v>1764</v>
      </c>
      <c r="J83" s="12" t="s">
        <v>84</v>
      </c>
      <c r="K83" s="13">
        <v>17.2</v>
      </c>
      <c r="L83" s="12">
        <v>326</v>
      </c>
      <c r="M83" s="12">
        <v>600</v>
      </c>
      <c r="N83" s="12">
        <v>19.5</v>
      </c>
      <c r="O83" s="19">
        <v>400.84</v>
      </c>
      <c r="Q83" t="s">
        <v>563</v>
      </c>
    </row>
    <row r="84" spans="3:17" x14ac:dyDescent="0.2">
      <c r="C84" s="1" t="s">
        <v>188</v>
      </c>
      <c r="D84" t="s">
        <v>324</v>
      </c>
      <c r="E84" t="s">
        <v>326</v>
      </c>
      <c r="F84" s="1" t="s">
        <v>406</v>
      </c>
      <c r="H84" s="12" t="s">
        <v>73</v>
      </c>
      <c r="I84" s="11" t="s">
        <v>1765</v>
      </c>
      <c r="J84" s="12" t="s">
        <v>84</v>
      </c>
      <c r="K84" s="13">
        <v>17.5</v>
      </c>
      <c r="L84" s="12">
        <v>346</v>
      </c>
      <c r="M84" s="12">
        <v>620</v>
      </c>
      <c r="N84" s="12">
        <v>19.5</v>
      </c>
      <c r="O84" s="19">
        <v>429</v>
      </c>
      <c r="Q84" t="s">
        <v>564</v>
      </c>
    </row>
    <row r="85" spans="3:17" x14ac:dyDescent="0.2">
      <c r="C85" s="1" t="s">
        <v>189</v>
      </c>
      <c r="D85" t="s">
        <v>324</v>
      </c>
      <c r="E85" t="s">
        <v>326</v>
      </c>
      <c r="F85" s="1" t="s">
        <v>407</v>
      </c>
      <c r="H85" s="12" t="s">
        <v>74</v>
      </c>
      <c r="I85" s="11" t="s">
        <v>1766</v>
      </c>
      <c r="J85" s="12" t="s">
        <v>84</v>
      </c>
      <c r="K85" s="13">
        <v>17.600000000000001</v>
      </c>
      <c r="L85" s="12">
        <v>355</v>
      </c>
      <c r="M85" s="12">
        <v>630</v>
      </c>
      <c r="N85" s="12">
        <v>19.5</v>
      </c>
      <c r="O85" s="19">
        <f>O84/36*37</f>
        <v>440.91666666666663</v>
      </c>
      <c r="Q85" t="s">
        <v>565</v>
      </c>
    </row>
    <row r="86" spans="3:17" x14ac:dyDescent="0.2">
      <c r="C86" s="1" t="s">
        <v>190</v>
      </c>
      <c r="D86" t="s">
        <v>324</v>
      </c>
      <c r="E86" t="s">
        <v>326</v>
      </c>
      <c r="F86" s="1" t="s">
        <v>408</v>
      </c>
      <c r="H86" s="12" t="s">
        <v>75</v>
      </c>
      <c r="I86" s="11" t="s">
        <v>1767</v>
      </c>
      <c r="J86" s="12" t="s">
        <v>84</v>
      </c>
      <c r="K86" s="13">
        <v>18.399999999999999</v>
      </c>
      <c r="L86" s="12">
        <v>384</v>
      </c>
      <c r="M86" s="12">
        <v>680</v>
      </c>
      <c r="N86" s="12">
        <v>19.5</v>
      </c>
      <c r="O86" s="19">
        <f>O88/42*40</f>
        <v>464.63809523809522</v>
      </c>
      <c r="Q86" t="s">
        <v>566</v>
      </c>
    </row>
    <row r="87" spans="3:17" x14ac:dyDescent="0.2">
      <c r="C87" s="1" t="s">
        <v>191</v>
      </c>
      <c r="D87" t="s">
        <v>324</v>
      </c>
      <c r="E87" t="s">
        <v>326</v>
      </c>
      <c r="F87" s="1" t="s">
        <v>409</v>
      </c>
      <c r="H87" s="12" t="s">
        <v>76</v>
      </c>
      <c r="I87" s="11" t="s">
        <v>1768</v>
      </c>
      <c r="J87" s="12" t="s">
        <v>84</v>
      </c>
      <c r="K87" s="13">
        <v>18.899999999999999</v>
      </c>
      <c r="L87" s="12">
        <v>394</v>
      </c>
      <c r="M87" s="12">
        <v>700</v>
      </c>
      <c r="N87" s="12">
        <v>19.5</v>
      </c>
      <c r="O87" s="19">
        <f>O88/42*41</f>
        <v>476.25404761904764</v>
      </c>
      <c r="Q87" t="s">
        <v>567</v>
      </c>
    </row>
    <row r="88" spans="3:17" x14ac:dyDescent="0.2">
      <c r="C88" s="1" t="s">
        <v>192</v>
      </c>
      <c r="D88" t="s">
        <v>324</v>
      </c>
      <c r="E88" t="s">
        <v>326</v>
      </c>
      <c r="F88" s="1" t="s">
        <v>410</v>
      </c>
      <c r="H88" s="12" t="s">
        <v>77</v>
      </c>
      <c r="I88" s="11" t="s">
        <v>1769</v>
      </c>
      <c r="J88" s="12" t="s">
        <v>84</v>
      </c>
      <c r="K88" s="13">
        <v>19</v>
      </c>
      <c r="L88" s="12">
        <v>403</v>
      </c>
      <c r="M88" s="12">
        <v>720</v>
      </c>
      <c r="N88" s="12">
        <v>19.5</v>
      </c>
      <c r="O88" s="19">
        <v>487.87</v>
      </c>
      <c r="Q88" t="s">
        <v>568</v>
      </c>
    </row>
    <row r="89" spans="3:17" x14ac:dyDescent="0.2">
      <c r="C89" s="1" t="s">
        <v>193</v>
      </c>
      <c r="D89" t="s">
        <v>324</v>
      </c>
      <c r="E89" t="s">
        <v>326</v>
      </c>
      <c r="F89" s="1" t="s">
        <v>411</v>
      </c>
      <c r="H89" s="12" t="s">
        <v>78</v>
      </c>
      <c r="I89" s="11" t="s">
        <v>1770</v>
      </c>
      <c r="J89" s="12" t="s">
        <v>84</v>
      </c>
      <c r="K89" s="13">
        <v>20.9</v>
      </c>
      <c r="L89" s="12">
        <v>480</v>
      </c>
      <c r="M89" s="12">
        <v>925</v>
      </c>
      <c r="N89" s="12">
        <v>19.5</v>
      </c>
      <c r="O89" s="19">
        <v>668.43</v>
      </c>
      <c r="Q89" t="s">
        <v>569</v>
      </c>
    </row>
    <row r="90" spans="3:17" x14ac:dyDescent="0.2">
      <c r="C90" s="1" t="s">
        <v>194</v>
      </c>
      <c r="D90" t="s">
        <v>324</v>
      </c>
      <c r="E90" t="s">
        <v>326</v>
      </c>
      <c r="F90" s="1" t="s">
        <v>412</v>
      </c>
      <c r="H90" s="12" t="s">
        <v>79</v>
      </c>
      <c r="I90" s="11" t="s">
        <v>1771</v>
      </c>
      <c r="J90" s="12" t="s">
        <v>84</v>
      </c>
      <c r="K90" s="13">
        <v>21.6</v>
      </c>
      <c r="L90" s="12">
        <v>538</v>
      </c>
      <c r="M90" s="12">
        <v>1020</v>
      </c>
      <c r="N90" s="12">
        <v>19.5</v>
      </c>
      <c r="O90" s="19" t="s">
        <v>904</v>
      </c>
      <c r="Q90" t="s">
        <v>570</v>
      </c>
    </row>
    <row r="91" spans="3:17" x14ac:dyDescent="0.2">
      <c r="C91" s="1" t="s">
        <v>195</v>
      </c>
      <c r="D91" t="s">
        <v>324</v>
      </c>
      <c r="E91" t="s">
        <v>326</v>
      </c>
      <c r="F91" s="1" t="s">
        <v>413</v>
      </c>
      <c r="H91" s="12" t="s">
        <v>80</v>
      </c>
      <c r="I91" s="11" t="s">
        <v>1772</v>
      </c>
      <c r="J91" s="12" t="s">
        <v>84</v>
      </c>
      <c r="K91" s="13">
        <v>22.5</v>
      </c>
      <c r="L91" s="12">
        <v>586</v>
      </c>
      <c r="M91" s="12">
        <v>1100</v>
      </c>
      <c r="N91" s="12">
        <v>19.5</v>
      </c>
      <c r="O91" s="19" t="s">
        <v>904</v>
      </c>
      <c r="Q91" t="s">
        <v>571</v>
      </c>
    </row>
    <row r="92" spans="3:17" x14ac:dyDescent="0.2">
      <c r="C92" s="1" t="s">
        <v>196</v>
      </c>
      <c r="D92" t="s">
        <v>324</v>
      </c>
      <c r="E92" t="s">
        <v>326</v>
      </c>
      <c r="F92" s="1" t="s">
        <v>414</v>
      </c>
      <c r="H92" s="12" t="s">
        <v>81</v>
      </c>
      <c r="I92" s="11" t="s">
        <v>1773</v>
      </c>
      <c r="J92" s="12" t="s">
        <v>84</v>
      </c>
      <c r="K92" s="13">
        <v>23.4</v>
      </c>
      <c r="L92" s="12">
        <v>624</v>
      </c>
      <c r="M92" s="12">
        <v>1170</v>
      </c>
      <c r="N92" s="12">
        <v>19.5</v>
      </c>
      <c r="O92" s="19" t="s">
        <v>904</v>
      </c>
      <c r="Q92" t="s">
        <v>572</v>
      </c>
    </row>
    <row r="93" spans="3:17" x14ac:dyDescent="0.2">
      <c r="C93" s="1" t="s">
        <v>197</v>
      </c>
      <c r="D93" t="s">
        <v>324</v>
      </c>
      <c r="E93" t="s">
        <v>326</v>
      </c>
      <c r="F93" s="1" t="s">
        <v>415</v>
      </c>
      <c r="H93" s="12" t="s">
        <v>82</v>
      </c>
      <c r="I93" s="11" t="s">
        <v>1774</v>
      </c>
      <c r="J93" s="12" t="s">
        <v>84</v>
      </c>
      <c r="K93" s="13">
        <v>25.7</v>
      </c>
      <c r="L93" s="12">
        <v>786</v>
      </c>
      <c r="M93" s="12">
        <v>1300</v>
      </c>
      <c r="N93" s="12">
        <v>19.5</v>
      </c>
      <c r="O93" s="19">
        <v>1013.12</v>
      </c>
      <c r="Q93" t="s">
        <v>573</v>
      </c>
    </row>
    <row r="94" spans="3:17" x14ac:dyDescent="0.2">
      <c r="C94" s="1" t="s">
        <v>198</v>
      </c>
      <c r="D94" t="s">
        <v>324</v>
      </c>
      <c r="E94" t="s">
        <v>326</v>
      </c>
      <c r="F94" s="1" t="s">
        <v>416</v>
      </c>
      <c r="H94" s="12" t="s">
        <v>83</v>
      </c>
      <c r="I94" s="11" t="s">
        <v>1775</v>
      </c>
      <c r="J94" s="12" t="s">
        <v>84</v>
      </c>
      <c r="K94" s="13">
        <v>28.6</v>
      </c>
      <c r="L94" s="12">
        <v>960</v>
      </c>
      <c r="M94" s="12">
        <v>1630</v>
      </c>
      <c r="N94" s="12">
        <v>19.5</v>
      </c>
      <c r="O94" s="19" t="s">
        <v>904</v>
      </c>
      <c r="Q94" t="s">
        <v>574</v>
      </c>
    </row>
    <row r="95" spans="3:17" ht="3.6" customHeight="1" x14ac:dyDescent="0.2">
      <c r="H95" s="15"/>
      <c r="I95" s="16"/>
      <c r="J95" s="15"/>
      <c r="K95" s="17"/>
      <c r="L95" s="15"/>
      <c r="M95" s="15"/>
      <c r="N95" s="15"/>
      <c r="O95" s="20"/>
    </row>
    <row r="96" spans="3:17" x14ac:dyDescent="0.2">
      <c r="C96" s="1" t="s">
        <v>114</v>
      </c>
      <c r="D96" t="s">
        <v>323</v>
      </c>
      <c r="E96" t="s">
        <v>325</v>
      </c>
      <c r="F96" s="1" t="s">
        <v>330</v>
      </c>
      <c r="H96" s="12" t="s">
        <v>205</v>
      </c>
      <c r="I96" s="11" t="s">
        <v>1776</v>
      </c>
      <c r="J96" s="12" t="s">
        <v>220</v>
      </c>
      <c r="K96" s="13">
        <v>6.6</v>
      </c>
      <c r="L96" s="12">
        <v>28.8</v>
      </c>
      <c r="M96" s="12">
        <v>100</v>
      </c>
      <c r="N96" s="12">
        <v>13.3</v>
      </c>
      <c r="O96" s="19">
        <v>31.55</v>
      </c>
      <c r="Q96" t="s">
        <v>575</v>
      </c>
    </row>
    <row r="97" spans="3:17" x14ac:dyDescent="0.2">
      <c r="C97" s="1" t="s">
        <v>115</v>
      </c>
      <c r="D97" t="s">
        <v>324</v>
      </c>
      <c r="E97" t="s">
        <v>326</v>
      </c>
      <c r="F97" s="1" t="s">
        <v>417</v>
      </c>
      <c r="H97" s="12" t="s">
        <v>206</v>
      </c>
      <c r="I97" s="11" t="s">
        <v>1777</v>
      </c>
      <c r="J97" s="12" t="s">
        <v>220</v>
      </c>
      <c r="K97" s="13">
        <v>6.8</v>
      </c>
      <c r="L97" s="12">
        <v>43.2</v>
      </c>
      <c r="M97" s="12">
        <v>110</v>
      </c>
      <c r="N97" s="12">
        <v>13.3</v>
      </c>
      <c r="O97" s="19">
        <v>45.25</v>
      </c>
      <c r="Q97" t="s">
        <v>576</v>
      </c>
    </row>
    <row r="98" spans="3:17" x14ac:dyDescent="0.2">
      <c r="C98" s="1" t="s">
        <v>116</v>
      </c>
      <c r="D98" t="s">
        <v>324</v>
      </c>
      <c r="E98" t="s">
        <v>326</v>
      </c>
      <c r="F98" s="1" t="s">
        <v>418</v>
      </c>
      <c r="H98" s="12" t="s">
        <v>207</v>
      </c>
      <c r="I98" s="11" t="s">
        <v>1778</v>
      </c>
      <c r="J98" s="12" t="s">
        <v>220</v>
      </c>
      <c r="K98" s="13">
        <v>7.4</v>
      </c>
      <c r="L98" s="12">
        <v>57.6</v>
      </c>
      <c r="M98" s="12">
        <v>125</v>
      </c>
      <c r="N98" s="12">
        <v>13.3</v>
      </c>
      <c r="O98" s="19">
        <v>58.05</v>
      </c>
      <c r="Q98" t="s">
        <v>577</v>
      </c>
    </row>
    <row r="99" spans="3:17" x14ac:dyDescent="0.2">
      <c r="C99" s="1" t="s">
        <v>117</v>
      </c>
      <c r="D99" t="s">
        <v>324</v>
      </c>
      <c r="E99" t="s">
        <v>326</v>
      </c>
      <c r="F99" s="1" t="s">
        <v>419</v>
      </c>
      <c r="H99" s="12" t="s">
        <v>208</v>
      </c>
      <c r="I99" s="11" t="s">
        <v>1779</v>
      </c>
      <c r="J99" s="12" t="s">
        <v>220</v>
      </c>
      <c r="K99" s="13">
        <v>8.3000000000000007</v>
      </c>
      <c r="L99" s="13">
        <v>72</v>
      </c>
      <c r="M99" s="12">
        <v>145</v>
      </c>
      <c r="N99" s="12">
        <v>13.3</v>
      </c>
      <c r="O99" s="19">
        <v>73.290000000000006</v>
      </c>
      <c r="Q99" t="s">
        <v>578</v>
      </c>
    </row>
    <row r="100" spans="3:17" x14ac:dyDescent="0.2">
      <c r="C100" s="1" t="s">
        <v>118</v>
      </c>
      <c r="D100" t="s">
        <v>324</v>
      </c>
      <c r="E100" t="s">
        <v>326</v>
      </c>
      <c r="F100" s="1" t="s">
        <v>420</v>
      </c>
      <c r="H100" s="12" t="s">
        <v>209</v>
      </c>
      <c r="I100" s="11" t="s">
        <v>1780</v>
      </c>
      <c r="J100" s="12" t="s">
        <v>220</v>
      </c>
      <c r="K100" s="13">
        <v>9</v>
      </c>
      <c r="L100" s="12">
        <v>86.4</v>
      </c>
      <c r="M100" s="12">
        <v>170</v>
      </c>
      <c r="N100" s="12">
        <v>13.3</v>
      </c>
      <c r="O100" s="19">
        <v>92</v>
      </c>
      <c r="Q100" t="s">
        <v>579</v>
      </c>
    </row>
    <row r="101" spans="3:17" x14ac:dyDescent="0.2">
      <c r="C101" s="1" t="s">
        <v>119</v>
      </c>
      <c r="D101" t="s">
        <v>324</v>
      </c>
      <c r="E101" t="s">
        <v>326</v>
      </c>
      <c r="F101" s="1" t="s">
        <v>421</v>
      </c>
      <c r="H101" s="12" t="s">
        <v>210</v>
      </c>
      <c r="I101" s="11" t="s">
        <v>1781</v>
      </c>
      <c r="J101" s="12" t="s">
        <v>220</v>
      </c>
      <c r="K101" s="13">
        <v>9.1</v>
      </c>
      <c r="L101" s="12">
        <v>101</v>
      </c>
      <c r="M101" s="12">
        <v>195</v>
      </c>
      <c r="N101" s="12">
        <v>13.3</v>
      </c>
      <c r="O101" s="19">
        <v>104.86</v>
      </c>
      <c r="Q101" t="s">
        <v>580</v>
      </c>
    </row>
    <row r="102" spans="3:17" x14ac:dyDescent="0.2">
      <c r="C102" s="1" t="s">
        <v>120</v>
      </c>
      <c r="D102" t="s">
        <v>324</v>
      </c>
      <c r="E102" t="s">
        <v>326</v>
      </c>
      <c r="F102" s="1" t="s">
        <v>422</v>
      </c>
      <c r="H102" s="12" t="s">
        <v>211</v>
      </c>
      <c r="I102" s="11" t="s">
        <v>1782</v>
      </c>
      <c r="J102" s="12" t="s">
        <v>220</v>
      </c>
      <c r="K102" s="13">
        <v>10.9</v>
      </c>
      <c r="L102" s="12">
        <v>115</v>
      </c>
      <c r="M102" s="12">
        <v>215</v>
      </c>
      <c r="N102" s="12">
        <v>13.3</v>
      </c>
      <c r="O102" s="19">
        <v>120.74</v>
      </c>
      <c r="Q102" t="s">
        <v>581</v>
      </c>
    </row>
    <row r="103" spans="3:17" x14ac:dyDescent="0.2">
      <c r="C103" s="1" t="s">
        <v>121</v>
      </c>
      <c r="D103" t="s">
        <v>324</v>
      </c>
      <c r="E103" t="s">
        <v>326</v>
      </c>
      <c r="F103" s="1" t="s">
        <v>423</v>
      </c>
      <c r="H103" s="12" t="s">
        <v>212</v>
      </c>
      <c r="I103" s="11" t="s">
        <v>1783</v>
      </c>
      <c r="J103" s="12" t="s">
        <v>220</v>
      </c>
      <c r="K103" s="13">
        <v>11.7</v>
      </c>
      <c r="L103" s="12">
        <v>129</v>
      </c>
      <c r="M103" s="12">
        <v>230</v>
      </c>
      <c r="N103" s="12">
        <v>13.3</v>
      </c>
      <c r="O103" s="19">
        <v>137.97</v>
      </c>
      <c r="Q103" t="s">
        <v>582</v>
      </c>
    </row>
    <row r="104" spans="3:17" x14ac:dyDescent="0.2">
      <c r="C104" s="1" t="s">
        <v>122</v>
      </c>
      <c r="D104" t="s">
        <v>324</v>
      </c>
      <c r="E104" t="s">
        <v>326</v>
      </c>
      <c r="F104" s="1" t="s">
        <v>424</v>
      </c>
      <c r="H104" s="12" t="s">
        <v>213</v>
      </c>
      <c r="I104" s="11" t="s">
        <v>1784</v>
      </c>
      <c r="J104" s="12" t="s">
        <v>220</v>
      </c>
      <c r="K104" s="13">
        <v>11.8</v>
      </c>
      <c r="L104" s="12">
        <v>144</v>
      </c>
      <c r="M104" s="12">
        <v>260</v>
      </c>
      <c r="N104" s="12">
        <v>13.3</v>
      </c>
      <c r="O104" s="19">
        <v>155.62</v>
      </c>
      <c r="Q104" t="s">
        <v>583</v>
      </c>
    </row>
    <row r="105" spans="3:17" x14ac:dyDescent="0.2">
      <c r="C105" s="1" t="s">
        <v>123</v>
      </c>
      <c r="D105" t="s">
        <v>324</v>
      </c>
      <c r="E105" t="s">
        <v>326</v>
      </c>
      <c r="F105" s="1" t="s">
        <v>425</v>
      </c>
      <c r="H105" s="12" t="s">
        <v>214</v>
      </c>
      <c r="I105" s="11" t="s">
        <v>1785</v>
      </c>
      <c r="J105" s="12" t="s">
        <v>220</v>
      </c>
      <c r="K105" s="13">
        <v>12.4</v>
      </c>
      <c r="L105" s="12">
        <v>173</v>
      </c>
      <c r="M105" s="12">
        <v>310</v>
      </c>
      <c r="N105" s="12">
        <v>13.3</v>
      </c>
      <c r="O105" s="19">
        <v>179.67</v>
      </c>
      <c r="Q105" t="s">
        <v>584</v>
      </c>
    </row>
    <row r="106" spans="3:17" x14ac:dyDescent="0.2">
      <c r="C106" s="1" t="s">
        <v>199</v>
      </c>
      <c r="D106" t="s">
        <v>324</v>
      </c>
      <c r="E106" t="s">
        <v>326</v>
      </c>
      <c r="F106" s="1" t="s">
        <v>426</v>
      </c>
      <c r="H106" s="12" t="s">
        <v>215</v>
      </c>
      <c r="I106" s="11" t="s">
        <v>1786</v>
      </c>
      <c r="J106" s="12" t="s">
        <v>220</v>
      </c>
      <c r="K106" s="13">
        <v>12.9</v>
      </c>
      <c r="L106" s="12">
        <v>202</v>
      </c>
      <c r="M106" s="12">
        <v>360</v>
      </c>
      <c r="N106" s="12">
        <v>13.3</v>
      </c>
      <c r="O106" s="19">
        <v>212.53</v>
      </c>
      <c r="Q106" t="s">
        <v>585</v>
      </c>
    </row>
    <row r="107" spans="3:17" x14ac:dyDescent="0.2">
      <c r="C107" s="1" t="s">
        <v>200</v>
      </c>
      <c r="D107" t="s">
        <v>324</v>
      </c>
      <c r="E107" t="s">
        <v>326</v>
      </c>
      <c r="F107" s="1" t="s">
        <v>427</v>
      </c>
      <c r="H107" s="12" t="s">
        <v>216</v>
      </c>
      <c r="I107" s="11" t="s">
        <v>1787</v>
      </c>
      <c r="J107" s="12" t="s">
        <v>220</v>
      </c>
      <c r="K107" s="13">
        <v>13.8</v>
      </c>
      <c r="L107" s="12">
        <v>230</v>
      </c>
      <c r="M107" s="12">
        <v>390</v>
      </c>
      <c r="N107" s="12">
        <v>13.3</v>
      </c>
      <c r="O107" s="19">
        <v>251.92</v>
      </c>
      <c r="Q107" t="s">
        <v>586</v>
      </c>
    </row>
    <row r="108" spans="3:17" x14ac:dyDescent="0.2">
      <c r="C108" s="1" t="s">
        <v>201</v>
      </c>
      <c r="D108" t="s">
        <v>324</v>
      </c>
      <c r="E108" t="s">
        <v>326</v>
      </c>
      <c r="F108" s="1" t="s">
        <v>428</v>
      </c>
      <c r="H108" s="12" t="s">
        <v>217</v>
      </c>
      <c r="I108" s="11" t="s">
        <v>1788</v>
      </c>
      <c r="J108" s="12" t="s">
        <v>220</v>
      </c>
      <c r="K108" s="13">
        <v>14.8</v>
      </c>
      <c r="L108" s="12">
        <v>259</v>
      </c>
      <c r="M108" s="12">
        <v>420</v>
      </c>
      <c r="N108" s="12">
        <v>13.3</v>
      </c>
      <c r="O108" s="19">
        <v>283.94</v>
      </c>
      <c r="Q108" t="s">
        <v>587</v>
      </c>
    </row>
    <row r="109" spans="3:17" x14ac:dyDescent="0.2">
      <c r="C109" s="1" t="s">
        <v>202</v>
      </c>
      <c r="D109" t="s">
        <v>324</v>
      </c>
      <c r="E109" t="s">
        <v>326</v>
      </c>
      <c r="F109" s="1" t="s">
        <v>429</v>
      </c>
      <c r="H109" s="12" t="s">
        <v>218</v>
      </c>
      <c r="I109" s="11" t="s">
        <v>1789</v>
      </c>
      <c r="J109" s="12" t="s">
        <v>220</v>
      </c>
      <c r="K109" s="13">
        <v>14.9</v>
      </c>
      <c r="L109" s="12">
        <v>279</v>
      </c>
      <c r="M109" s="12">
        <v>440</v>
      </c>
      <c r="N109" s="12">
        <v>13.3</v>
      </c>
      <c r="O109" s="19">
        <f>O108*19/18</f>
        <v>299.71444444444444</v>
      </c>
      <c r="Q109" t="s">
        <v>588</v>
      </c>
    </row>
    <row r="110" spans="3:17" x14ac:dyDescent="0.2">
      <c r="C110" s="1" t="s">
        <v>203</v>
      </c>
      <c r="D110" t="s">
        <v>324</v>
      </c>
      <c r="E110" t="s">
        <v>326</v>
      </c>
      <c r="F110" s="1" t="s">
        <v>430</v>
      </c>
      <c r="H110" s="12" t="s">
        <v>219</v>
      </c>
      <c r="I110" s="11" t="s">
        <v>1790</v>
      </c>
      <c r="J110" s="12" t="s">
        <v>220</v>
      </c>
      <c r="K110" s="13">
        <v>16</v>
      </c>
      <c r="L110" s="12">
        <v>302</v>
      </c>
      <c r="M110" s="12">
        <v>535</v>
      </c>
      <c r="N110" s="12">
        <v>13.3</v>
      </c>
      <c r="O110" s="19">
        <v>321.95999999999998</v>
      </c>
      <c r="Q110" t="s">
        <v>589</v>
      </c>
    </row>
    <row r="111" spans="3:17" x14ac:dyDescent="0.2">
      <c r="C111" s="1" t="s">
        <v>221</v>
      </c>
      <c r="D111" t="s">
        <v>324</v>
      </c>
      <c r="E111" t="s">
        <v>326</v>
      </c>
      <c r="F111" s="1" t="s">
        <v>431</v>
      </c>
      <c r="H111" s="12" t="s">
        <v>265</v>
      </c>
      <c r="I111" s="11" t="s">
        <v>1791</v>
      </c>
      <c r="J111" s="12" t="s">
        <v>220</v>
      </c>
      <c r="K111" s="13">
        <v>17.2</v>
      </c>
      <c r="L111" s="12">
        <v>360</v>
      </c>
      <c r="M111" s="12">
        <v>600</v>
      </c>
      <c r="N111" s="12">
        <v>13.3</v>
      </c>
      <c r="O111" s="19">
        <v>399.4</v>
      </c>
      <c r="Q111" t="s">
        <v>590</v>
      </c>
    </row>
    <row r="112" spans="3:17" x14ac:dyDescent="0.2">
      <c r="C112" s="1" t="s">
        <v>222</v>
      </c>
      <c r="D112" t="s">
        <v>324</v>
      </c>
      <c r="E112" t="s">
        <v>326</v>
      </c>
      <c r="F112" s="1" t="s">
        <v>432</v>
      </c>
      <c r="H112" s="12" t="s">
        <v>266</v>
      </c>
      <c r="I112" s="11" t="s">
        <v>1792</v>
      </c>
      <c r="J112" s="12" t="s">
        <v>220</v>
      </c>
      <c r="K112" s="13">
        <v>18.8</v>
      </c>
      <c r="L112" s="12">
        <v>432</v>
      </c>
      <c r="M112" s="12">
        <v>660</v>
      </c>
      <c r="N112" s="12">
        <v>13.3</v>
      </c>
      <c r="O112" s="19">
        <v>438</v>
      </c>
      <c r="Q112" t="s">
        <v>591</v>
      </c>
    </row>
    <row r="113" spans="3:17" x14ac:dyDescent="0.2">
      <c r="C113" s="1" t="s">
        <v>223</v>
      </c>
      <c r="D113" t="s">
        <v>324</v>
      </c>
      <c r="E113" t="s">
        <v>326</v>
      </c>
      <c r="F113" s="1" t="s">
        <v>433</v>
      </c>
      <c r="H113" s="12" t="s">
        <v>267</v>
      </c>
      <c r="I113" s="11" t="s">
        <v>1793</v>
      </c>
      <c r="J113" s="12" t="s">
        <v>220</v>
      </c>
      <c r="K113" s="13">
        <v>19.8</v>
      </c>
      <c r="L113" s="12">
        <v>490</v>
      </c>
      <c r="M113" s="12">
        <v>730</v>
      </c>
      <c r="N113" s="12">
        <v>13.3</v>
      </c>
      <c r="O113" s="19">
        <v>562.38</v>
      </c>
      <c r="Q113" t="s">
        <v>592</v>
      </c>
    </row>
    <row r="114" spans="3:17" x14ac:dyDescent="0.2">
      <c r="C114" s="1" t="s">
        <v>224</v>
      </c>
      <c r="D114" t="s">
        <v>324</v>
      </c>
      <c r="E114" t="s">
        <v>326</v>
      </c>
      <c r="F114" s="1" t="s">
        <v>434</v>
      </c>
      <c r="H114" s="12" t="s">
        <v>268</v>
      </c>
      <c r="I114" s="11" t="s">
        <v>1794</v>
      </c>
      <c r="J114" s="12" t="s">
        <v>220</v>
      </c>
      <c r="K114" s="13">
        <v>21.6</v>
      </c>
      <c r="L114" s="12">
        <v>576</v>
      </c>
      <c r="M114" s="12">
        <v>895</v>
      </c>
      <c r="N114" s="12">
        <v>13.3</v>
      </c>
      <c r="O114" s="19">
        <f>O115/42*40</f>
        <v>626.27619047619055</v>
      </c>
      <c r="Q114" t="s">
        <v>593</v>
      </c>
    </row>
    <row r="115" spans="3:17" x14ac:dyDescent="0.2">
      <c r="C115" s="1" t="s">
        <v>225</v>
      </c>
      <c r="D115" t="s">
        <v>324</v>
      </c>
      <c r="E115" t="s">
        <v>326</v>
      </c>
      <c r="F115" s="1" t="s">
        <v>435</v>
      </c>
      <c r="H115" s="12" t="s">
        <v>269</v>
      </c>
      <c r="I115" s="11" t="s">
        <v>1795</v>
      </c>
      <c r="J115" s="12" t="s">
        <v>220</v>
      </c>
      <c r="K115" s="13">
        <v>21.6</v>
      </c>
      <c r="L115" s="12">
        <v>605</v>
      </c>
      <c r="M115" s="12">
        <v>900</v>
      </c>
      <c r="N115" s="12">
        <v>13.3</v>
      </c>
      <c r="O115" s="19">
        <v>657.59</v>
      </c>
      <c r="Q115" t="s">
        <v>594</v>
      </c>
    </row>
    <row r="116" spans="3:17" x14ac:dyDescent="0.2">
      <c r="C116" s="1" t="s">
        <v>226</v>
      </c>
      <c r="D116" t="s">
        <v>324</v>
      </c>
      <c r="E116" t="s">
        <v>326</v>
      </c>
      <c r="F116" s="1" t="s">
        <v>436</v>
      </c>
      <c r="H116" s="12" t="s">
        <v>270</v>
      </c>
      <c r="I116" s="11" t="s">
        <v>1796</v>
      </c>
      <c r="J116" s="12" t="s">
        <v>220</v>
      </c>
      <c r="K116" s="13">
        <v>23.8</v>
      </c>
      <c r="L116" s="12">
        <v>720</v>
      </c>
      <c r="M116" s="12">
        <v>1060</v>
      </c>
      <c r="N116" s="12">
        <v>13.3</v>
      </c>
      <c r="O116" s="19">
        <v>951.27</v>
      </c>
      <c r="Q116" t="s">
        <v>595</v>
      </c>
    </row>
    <row r="117" spans="3:17" x14ac:dyDescent="0.2">
      <c r="C117" s="1" t="s">
        <v>227</v>
      </c>
      <c r="D117" t="s">
        <v>324</v>
      </c>
      <c r="E117" t="s">
        <v>326</v>
      </c>
      <c r="F117" s="1" t="s">
        <v>437</v>
      </c>
      <c r="H117" s="12" t="s">
        <v>271</v>
      </c>
      <c r="I117" s="11" t="s">
        <v>1797</v>
      </c>
      <c r="J117" s="12" t="s">
        <v>220</v>
      </c>
      <c r="K117" s="13">
        <v>25.2</v>
      </c>
      <c r="L117" s="12">
        <v>806</v>
      </c>
      <c r="M117" s="12">
        <v>1200</v>
      </c>
      <c r="N117" s="12">
        <v>13.3</v>
      </c>
      <c r="O117" s="19">
        <v>1067</v>
      </c>
      <c r="Q117" t="s">
        <v>596</v>
      </c>
    </row>
    <row r="118" spans="3:17" x14ac:dyDescent="0.2">
      <c r="C118" s="1" t="s">
        <v>228</v>
      </c>
      <c r="D118" t="s">
        <v>324</v>
      </c>
      <c r="E118" t="s">
        <v>326</v>
      </c>
      <c r="F118" s="1" t="s">
        <v>438</v>
      </c>
      <c r="H118" s="12" t="s">
        <v>272</v>
      </c>
      <c r="I118" s="11" t="s">
        <v>1798</v>
      </c>
      <c r="J118" s="12" t="s">
        <v>220</v>
      </c>
      <c r="K118" s="13">
        <v>25.6</v>
      </c>
      <c r="L118" s="12">
        <v>878</v>
      </c>
      <c r="M118" s="12">
        <v>1320</v>
      </c>
      <c r="N118" s="12">
        <v>13.3</v>
      </c>
      <c r="O118" s="19">
        <v>1181.8399999999999</v>
      </c>
      <c r="Q118" t="s">
        <v>597</v>
      </c>
    </row>
    <row r="119" spans="3:17" x14ac:dyDescent="0.2">
      <c r="C119" s="1" t="s">
        <v>229</v>
      </c>
      <c r="D119" t="s">
        <v>324</v>
      </c>
      <c r="E119" t="s">
        <v>326</v>
      </c>
      <c r="F119" s="1" t="s">
        <v>439</v>
      </c>
      <c r="H119" s="12" t="s">
        <v>273</v>
      </c>
      <c r="I119" s="11" t="s">
        <v>1799</v>
      </c>
      <c r="J119" s="12" t="s">
        <v>220</v>
      </c>
      <c r="K119" s="13">
        <v>26.9</v>
      </c>
      <c r="L119" s="12">
        <v>936</v>
      </c>
      <c r="M119" s="12">
        <v>1440</v>
      </c>
      <c r="N119" s="12">
        <v>13.3</v>
      </c>
      <c r="O119" s="19" t="s">
        <v>904</v>
      </c>
      <c r="Q119" t="s">
        <v>598</v>
      </c>
    </row>
    <row r="120" spans="3:17" x14ac:dyDescent="0.2">
      <c r="C120" s="1" t="s">
        <v>230</v>
      </c>
      <c r="D120" t="s">
        <v>324</v>
      </c>
      <c r="E120" t="s">
        <v>326</v>
      </c>
      <c r="F120" s="1" t="s">
        <v>440</v>
      </c>
      <c r="H120" s="12" t="s">
        <v>274</v>
      </c>
      <c r="I120" s="11" t="s">
        <v>1800</v>
      </c>
      <c r="J120" s="12" t="s">
        <v>220</v>
      </c>
      <c r="K120" s="13">
        <v>29.4</v>
      </c>
      <c r="L120" s="12">
        <v>1152</v>
      </c>
      <c r="M120" s="12">
        <v>1750</v>
      </c>
      <c r="N120" s="12">
        <v>13.3</v>
      </c>
      <c r="O120" s="19" t="s">
        <v>904</v>
      </c>
      <c r="Q120" t="s">
        <v>599</v>
      </c>
    </row>
    <row r="121" spans="3:17" x14ac:dyDescent="0.2">
      <c r="C121" s="1" t="s">
        <v>231</v>
      </c>
      <c r="D121" t="s">
        <v>324</v>
      </c>
      <c r="E121" t="s">
        <v>326</v>
      </c>
      <c r="F121" s="1" t="s">
        <v>441</v>
      </c>
      <c r="H121" s="12" t="s">
        <v>275</v>
      </c>
      <c r="I121" s="11" t="s">
        <v>1801</v>
      </c>
      <c r="J121" s="12" t="s">
        <v>220</v>
      </c>
      <c r="K121" s="13">
        <v>32.799999999999997</v>
      </c>
      <c r="L121" s="12">
        <v>1440</v>
      </c>
      <c r="M121" s="12">
        <v>2355</v>
      </c>
      <c r="N121" s="12">
        <v>13.3</v>
      </c>
      <c r="O121" s="19" t="s">
        <v>904</v>
      </c>
      <c r="Q121" t="s">
        <v>600</v>
      </c>
    </row>
    <row r="122" spans="3:17" ht="3.6" customHeight="1" x14ac:dyDescent="0.2">
      <c r="H122" s="15"/>
      <c r="I122" s="16"/>
      <c r="J122" s="15"/>
      <c r="K122" s="17"/>
      <c r="L122" s="15"/>
      <c r="M122" s="15"/>
      <c r="N122" s="15"/>
      <c r="O122" s="20"/>
    </row>
    <row r="123" spans="3:17" x14ac:dyDescent="0.2">
      <c r="C123" s="1" t="s">
        <v>124</v>
      </c>
      <c r="D123" t="s">
        <v>323</v>
      </c>
      <c r="E123" t="s">
        <v>325</v>
      </c>
      <c r="F123" s="1" t="s">
        <v>331</v>
      </c>
      <c r="H123" s="12" t="s">
        <v>276</v>
      </c>
      <c r="I123" s="11" t="s">
        <v>1802</v>
      </c>
      <c r="J123" s="12" t="s">
        <v>316</v>
      </c>
      <c r="K123" s="13">
        <v>7.7</v>
      </c>
      <c r="L123" s="13">
        <v>48</v>
      </c>
      <c r="M123" s="12">
        <v>120</v>
      </c>
      <c r="N123" s="12">
        <v>7.98</v>
      </c>
      <c r="O123" s="19">
        <v>51.69</v>
      </c>
      <c r="Q123" t="s">
        <v>601</v>
      </c>
    </row>
    <row r="124" spans="3:17" x14ac:dyDescent="0.2">
      <c r="C124" s="1" t="s">
        <v>125</v>
      </c>
      <c r="D124" t="s">
        <v>324</v>
      </c>
      <c r="E124" t="s">
        <v>326</v>
      </c>
      <c r="F124" s="1" t="s">
        <v>442</v>
      </c>
      <c r="H124" s="12" t="s">
        <v>277</v>
      </c>
      <c r="I124" s="11" t="s">
        <v>1803</v>
      </c>
      <c r="J124" s="12" t="s">
        <v>316</v>
      </c>
      <c r="K124" s="13">
        <v>8.3000000000000007</v>
      </c>
      <c r="L124" s="13">
        <v>72</v>
      </c>
      <c r="M124" s="12">
        <v>170</v>
      </c>
      <c r="N124" s="12">
        <v>7.98</v>
      </c>
      <c r="O124" s="19">
        <v>74.2</v>
      </c>
      <c r="Q124" t="s">
        <v>602</v>
      </c>
    </row>
    <row r="125" spans="3:17" x14ac:dyDescent="0.2">
      <c r="C125" s="1" t="s">
        <v>126</v>
      </c>
      <c r="D125" t="s">
        <v>324</v>
      </c>
      <c r="E125" t="s">
        <v>326</v>
      </c>
      <c r="F125" s="1" t="s">
        <v>443</v>
      </c>
      <c r="H125" s="12" t="s">
        <v>278</v>
      </c>
      <c r="I125" s="11" t="s">
        <v>1804</v>
      </c>
      <c r="J125" s="12" t="s">
        <v>316</v>
      </c>
      <c r="K125" s="13">
        <v>9.1</v>
      </c>
      <c r="L125" s="13">
        <v>96</v>
      </c>
      <c r="M125" s="12">
        <v>180</v>
      </c>
      <c r="N125" s="12">
        <v>7.98</v>
      </c>
      <c r="O125" s="19">
        <v>97.12</v>
      </c>
      <c r="Q125" t="s">
        <v>603</v>
      </c>
    </row>
    <row r="126" spans="3:17" x14ac:dyDescent="0.2">
      <c r="C126" s="1" t="s">
        <v>127</v>
      </c>
      <c r="D126" t="s">
        <v>324</v>
      </c>
      <c r="E126" t="s">
        <v>326</v>
      </c>
      <c r="F126" s="1" t="s">
        <v>444</v>
      </c>
      <c r="H126" s="12" t="s">
        <v>279</v>
      </c>
      <c r="I126" s="11" t="s">
        <v>1805</v>
      </c>
      <c r="J126" s="12" t="s">
        <v>316</v>
      </c>
      <c r="K126" s="13">
        <v>10.199999999999999</v>
      </c>
      <c r="L126" s="12">
        <v>120</v>
      </c>
      <c r="M126" s="12">
        <v>190</v>
      </c>
      <c r="N126" s="12">
        <v>7.98</v>
      </c>
      <c r="O126" s="19">
        <v>123</v>
      </c>
      <c r="Q126" t="s">
        <v>604</v>
      </c>
    </row>
    <row r="127" spans="3:17" x14ac:dyDescent="0.2">
      <c r="C127" s="1" t="s">
        <v>128</v>
      </c>
      <c r="D127" t="s">
        <v>324</v>
      </c>
      <c r="E127" t="s">
        <v>326</v>
      </c>
      <c r="F127" s="1" t="s">
        <v>445</v>
      </c>
      <c r="H127" s="12" t="s">
        <v>280</v>
      </c>
      <c r="I127" s="11" t="s">
        <v>1806</v>
      </c>
      <c r="J127" s="12" t="s">
        <v>316</v>
      </c>
      <c r="K127" s="13">
        <v>11.2</v>
      </c>
      <c r="L127" s="12">
        <v>168</v>
      </c>
      <c r="M127" s="12">
        <v>280</v>
      </c>
      <c r="N127" s="12">
        <v>7.98</v>
      </c>
      <c r="O127" s="19">
        <v>175.12</v>
      </c>
      <c r="Q127" t="s">
        <v>605</v>
      </c>
    </row>
    <row r="128" spans="3:17" x14ac:dyDescent="0.2">
      <c r="C128" s="1" t="s">
        <v>129</v>
      </c>
      <c r="D128" t="s">
        <v>324</v>
      </c>
      <c r="E128" t="s">
        <v>326</v>
      </c>
      <c r="F128" s="1" t="s">
        <v>446</v>
      </c>
      <c r="H128" s="12" t="s">
        <v>281</v>
      </c>
      <c r="I128" s="11" t="s">
        <v>1807</v>
      </c>
      <c r="J128" s="12" t="s">
        <v>316</v>
      </c>
      <c r="K128" s="13">
        <v>13.1</v>
      </c>
      <c r="L128" s="12">
        <v>192</v>
      </c>
      <c r="M128" s="12">
        <v>325</v>
      </c>
      <c r="N128" s="12">
        <v>7.98</v>
      </c>
      <c r="O128" s="19">
        <v>188.45</v>
      </c>
      <c r="Q128" t="s">
        <v>606</v>
      </c>
    </row>
    <row r="129" spans="3:17" x14ac:dyDescent="0.2">
      <c r="C129" s="1" t="s">
        <v>130</v>
      </c>
      <c r="D129" t="s">
        <v>324</v>
      </c>
      <c r="E129" t="s">
        <v>326</v>
      </c>
      <c r="F129" s="1" t="s">
        <v>447</v>
      </c>
      <c r="H129" s="12" t="s">
        <v>282</v>
      </c>
      <c r="I129" s="11" t="s">
        <v>1808</v>
      </c>
      <c r="J129" s="12" t="s">
        <v>316</v>
      </c>
      <c r="K129" s="13">
        <v>15.1</v>
      </c>
      <c r="L129" s="12">
        <v>288</v>
      </c>
      <c r="M129" s="12">
        <v>510</v>
      </c>
      <c r="N129" s="12">
        <v>7.98</v>
      </c>
      <c r="O129" s="19">
        <v>296.24</v>
      </c>
      <c r="Q129" t="s">
        <v>607</v>
      </c>
    </row>
    <row r="130" spans="3:17" x14ac:dyDescent="0.2">
      <c r="C130" s="1" t="s">
        <v>232</v>
      </c>
      <c r="D130" t="s">
        <v>324</v>
      </c>
      <c r="E130" t="s">
        <v>326</v>
      </c>
      <c r="F130" s="1" t="s">
        <v>448</v>
      </c>
      <c r="H130" s="12" t="s">
        <v>283</v>
      </c>
      <c r="I130" s="11" t="s">
        <v>1809</v>
      </c>
      <c r="J130" s="12" t="s">
        <v>316</v>
      </c>
      <c r="K130" s="13">
        <v>16.100000000000001</v>
      </c>
      <c r="L130" s="12">
        <v>336</v>
      </c>
      <c r="M130" s="12">
        <v>600</v>
      </c>
      <c r="N130" s="12">
        <v>7.98</v>
      </c>
      <c r="O130" s="19">
        <v>321.33</v>
      </c>
      <c r="Q130" t="s">
        <v>608</v>
      </c>
    </row>
    <row r="131" spans="3:17" x14ac:dyDescent="0.2">
      <c r="C131" s="1" t="s">
        <v>233</v>
      </c>
      <c r="D131" t="s">
        <v>324</v>
      </c>
      <c r="E131" t="s">
        <v>326</v>
      </c>
      <c r="F131" s="1" t="s">
        <v>449</v>
      </c>
      <c r="H131" s="12" t="s">
        <v>284</v>
      </c>
      <c r="I131" s="11" t="s">
        <v>1810</v>
      </c>
      <c r="J131" s="12" t="s">
        <v>316</v>
      </c>
      <c r="K131" s="13">
        <v>18.100000000000001</v>
      </c>
      <c r="L131" s="12">
        <v>432</v>
      </c>
      <c r="M131" s="12">
        <v>870</v>
      </c>
      <c r="N131" s="12">
        <v>7.98</v>
      </c>
      <c r="O131" s="19">
        <v>425.57</v>
      </c>
      <c r="Q131" t="s">
        <v>609</v>
      </c>
    </row>
    <row r="132" spans="3:17" x14ac:dyDescent="0.2">
      <c r="C132" s="1" t="s">
        <v>234</v>
      </c>
      <c r="D132" t="s">
        <v>324</v>
      </c>
      <c r="E132" t="s">
        <v>326</v>
      </c>
      <c r="F132" s="1" t="s">
        <v>450</v>
      </c>
      <c r="H132" s="12" t="s">
        <v>285</v>
      </c>
      <c r="I132" s="11" t="s">
        <v>1811</v>
      </c>
      <c r="J132" s="12" t="s">
        <v>316</v>
      </c>
      <c r="K132" s="13">
        <v>21.2</v>
      </c>
      <c r="L132" s="12">
        <v>600</v>
      </c>
      <c r="M132" s="12">
        <v>1140</v>
      </c>
      <c r="N132" s="12">
        <v>7.98</v>
      </c>
      <c r="O132" s="19">
        <v>617.36</v>
      </c>
      <c r="Q132" t="s">
        <v>610</v>
      </c>
    </row>
    <row r="133" spans="3:17" x14ac:dyDescent="0.2">
      <c r="C133" s="1" t="s">
        <v>235</v>
      </c>
      <c r="D133" t="s">
        <v>324</v>
      </c>
      <c r="E133" t="s">
        <v>326</v>
      </c>
      <c r="F133" s="1" t="s">
        <v>451</v>
      </c>
      <c r="H133" s="12" t="s">
        <v>286</v>
      </c>
      <c r="I133" s="11" t="s">
        <v>1812</v>
      </c>
      <c r="J133" s="12" t="s">
        <v>316</v>
      </c>
      <c r="K133" s="13">
        <v>24</v>
      </c>
      <c r="L133" s="12">
        <v>768</v>
      </c>
      <c r="M133" s="12">
        <v>1205</v>
      </c>
      <c r="N133" s="12">
        <v>7.98</v>
      </c>
      <c r="O133" s="19" t="s">
        <v>904</v>
      </c>
      <c r="Q133" t="s">
        <v>611</v>
      </c>
    </row>
    <row r="134" spans="3:17" x14ac:dyDescent="0.2">
      <c r="C134" s="1" t="s">
        <v>236</v>
      </c>
      <c r="D134" t="s">
        <v>324</v>
      </c>
      <c r="E134" t="s">
        <v>326</v>
      </c>
      <c r="F134" s="1" t="s">
        <v>452</v>
      </c>
      <c r="H134" s="12" t="s">
        <v>287</v>
      </c>
      <c r="I134" s="11" t="s">
        <v>1813</v>
      </c>
      <c r="J134" s="12" t="s">
        <v>316</v>
      </c>
      <c r="K134" s="13">
        <v>24.8</v>
      </c>
      <c r="L134" s="12">
        <v>816</v>
      </c>
      <c r="M134" s="12">
        <v>1320</v>
      </c>
      <c r="N134" s="12">
        <v>7.98</v>
      </c>
      <c r="O134" s="19" t="s">
        <v>904</v>
      </c>
      <c r="Q134" t="s">
        <v>612</v>
      </c>
    </row>
    <row r="135" spans="3:17" x14ac:dyDescent="0.2">
      <c r="C135" s="1" t="s">
        <v>237</v>
      </c>
      <c r="D135" t="s">
        <v>324</v>
      </c>
      <c r="E135" t="s">
        <v>326</v>
      </c>
      <c r="F135" s="1" t="s">
        <v>453</v>
      </c>
      <c r="H135" s="12" t="s">
        <v>288</v>
      </c>
      <c r="I135" s="11" t="s">
        <v>1814</v>
      </c>
      <c r="J135" s="12" t="s">
        <v>316</v>
      </c>
      <c r="K135" s="13">
        <v>27.5</v>
      </c>
      <c r="L135" s="12">
        <v>1008</v>
      </c>
      <c r="M135" s="12">
        <v>1610</v>
      </c>
      <c r="N135" s="12">
        <v>7.98</v>
      </c>
      <c r="O135" s="19" t="s">
        <v>904</v>
      </c>
      <c r="Q135" t="s">
        <v>613</v>
      </c>
    </row>
    <row r="136" spans="3:17" x14ac:dyDescent="0.2">
      <c r="C136" s="1" t="s">
        <v>238</v>
      </c>
      <c r="D136" t="s">
        <v>324</v>
      </c>
      <c r="E136" t="s">
        <v>326</v>
      </c>
      <c r="F136" s="1" t="s">
        <v>454</v>
      </c>
      <c r="H136" s="12" t="s">
        <v>289</v>
      </c>
      <c r="I136" s="11" t="s">
        <v>1815</v>
      </c>
      <c r="J136" s="12" t="s">
        <v>316</v>
      </c>
      <c r="K136" s="13">
        <v>29.8</v>
      </c>
      <c r="L136" s="12">
        <v>1200</v>
      </c>
      <c r="M136" s="12">
        <v>1885</v>
      </c>
      <c r="N136" s="12">
        <v>7.98</v>
      </c>
      <c r="O136" s="19" t="s">
        <v>904</v>
      </c>
      <c r="Q136" t="s">
        <v>614</v>
      </c>
    </row>
    <row r="137" spans="3:17" x14ac:dyDescent="0.2">
      <c r="C137" s="1" t="s">
        <v>239</v>
      </c>
      <c r="D137" t="s">
        <v>324</v>
      </c>
      <c r="E137" t="s">
        <v>326</v>
      </c>
      <c r="F137" s="1" t="s">
        <v>455</v>
      </c>
      <c r="H137" s="12" t="s">
        <v>290</v>
      </c>
      <c r="I137" s="11" t="s">
        <v>1816</v>
      </c>
      <c r="J137" s="12" t="s">
        <v>316</v>
      </c>
      <c r="K137" s="13">
        <v>32.1</v>
      </c>
      <c r="L137" s="12">
        <v>1464</v>
      </c>
      <c r="M137" s="12">
        <v>2475</v>
      </c>
      <c r="N137" s="12">
        <v>7.98</v>
      </c>
      <c r="O137" s="19" t="s">
        <v>904</v>
      </c>
      <c r="Q137" t="s">
        <v>615</v>
      </c>
    </row>
    <row r="138" spans="3:17" x14ac:dyDescent="0.2">
      <c r="C138" s="1" t="s">
        <v>240</v>
      </c>
      <c r="D138" t="s">
        <v>324</v>
      </c>
      <c r="E138" t="s">
        <v>326</v>
      </c>
      <c r="F138" s="1" t="s">
        <v>456</v>
      </c>
      <c r="H138" s="12" t="s">
        <v>291</v>
      </c>
      <c r="I138" s="11" t="s">
        <v>1817</v>
      </c>
      <c r="J138" s="12" t="s">
        <v>316</v>
      </c>
      <c r="K138" s="13">
        <v>41.1</v>
      </c>
      <c r="L138" s="12">
        <v>2400</v>
      </c>
      <c r="M138" s="12">
        <v>4005</v>
      </c>
      <c r="N138" s="12">
        <v>7.98</v>
      </c>
      <c r="O138" s="19" t="s">
        <v>904</v>
      </c>
      <c r="Q138" t="s">
        <v>616</v>
      </c>
    </row>
    <row r="139" spans="3:17" ht="3.6" customHeight="1" x14ac:dyDescent="0.2">
      <c r="H139" s="15"/>
      <c r="I139" s="16"/>
      <c r="J139" s="15"/>
      <c r="K139" s="17"/>
      <c r="L139" s="15"/>
      <c r="M139" s="15"/>
      <c r="N139" s="15"/>
      <c r="O139" s="20"/>
    </row>
    <row r="140" spans="3:17" x14ac:dyDescent="0.2">
      <c r="C140" s="1" t="s">
        <v>241</v>
      </c>
      <c r="D140" t="s">
        <v>323</v>
      </c>
      <c r="E140" t="s">
        <v>325</v>
      </c>
      <c r="F140" s="1" t="s">
        <v>332</v>
      </c>
      <c r="H140" s="12" t="s">
        <v>292</v>
      </c>
      <c r="I140" s="11" t="s">
        <v>1818</v>
      </c>
      <c r="J140" s="12" t="s">
        <v>317</v>
      </c>
      <c r="K140" s="13">
        <v>9.3000000000000007</v>
      </c>
      <c r="L140" s="13">
        <v>77</v>
      </c>
      <c r="M140" s="12">
        <v>175</v>
      </c>
      <c r="N140" s="12">
        <v>4.95</v>
      </c>
      <c r="O140" s="19">
        <v>89</v>
      </c>
      <c r="Q140" t="s">
        <v>617</v>
      </c>
    </row>
    <row r="141" spans="3:17" x14ac:dyDescent="0.2">
      <c r="C141" s="1" t="s">
        <v>242</v>
      </c>
      <c r="D141" t="s">
        <v>324</v>
      </c>
      <c r="E141" t="s">
        <v>326</v>
      </c>
      <c r="F141" s="1" t="s">
        <v>457</v>
      </c>
      <c r="H141" s="12" t="s">
        <v>293</v>
      </c>
      <c r="I141" s="11" t="s">
        <v>1819</v>
      </c>
      <c r="J141" s="12" t="s">
        <v>317</v>
      </c>
      <c r="K141" s="13">
        <v>10.199999999999999</v>
      </c>
      <c r="L141" s="12">
        <v>115</v>
      </c>
      <c r="M141" s="12">
        <v>210</v>
      </c>
      <c r="N141" s="12">
        <v>4.95</v>
      </c>
      <c r="O141" s="19">
        <v>112.71</v>
      </c>
      <c r="Q141" t="s">
        <v>618</v>
      </c>
    </row>
    <row r="142" spans="3:17" x14ac:dyDescent="0.2">
      <c r="C142" s="1" t="s">
        <v>243</v>
      </c>
      <c r="D142" t="s">
        <v>324</v>
      </c>
      <c r="E142" t="s">
        <v>326</v>
      </c>
      <c r="F142" s="1" t="s">
        <v>458</v>
      </c>
      <c r="H142" s="12" t="s">
        <v>294</v>
      </c>
      <c r="I142" s="11" t="s">
        <v>1820</v>
      </c>
      <c r="J142" s="12" t="s">
        <v>317</v>
      </c>
      <c r="K142" s="13">
        <v>11.1</v>
      </c>
      <c r="L142" s="12">
        <v>154</v>
      </c>
      <c r="M142" s="12">
        <v>270</v>
      </c>
      <c r="N142" s="12">
        <v>4.95</v>
      </c>
      <c r="O142" s="19">
        <v>155.31</v>
      </c>
      <c r="Q142" t="s">
        <v>619</v>
      </c>
    </row>
    <row r="143" spans="3:17" x14ac:dyDescent="0.2">
      <c r="C143" s="1" t="s">
        <v>244</v>
      </c>
      <c r="D143" t="s">
        <v>324</v>
      </c>
      <c r="E143" t="s">
        <v>326</v>
      </c>
      <c r="F143" s="1" t="s">
        <v>459</v>
      </c>
      <c r="H143" s="12" t="s">
        <v>295</v>
      </c>
      <c r="I143" s="11" t="s">
        <v>1821</v>
      </c>
      <c r="J143" s="12" t="s">
        <v>317</v>
      </c>
      <c r="K143" s="13">
        <v>12.4</v>
      </c>
      <c r="L143" s="12">
        <v>192</v>
      </c>
      <c r="M143" s="12">
        <v>300</v>
      </c>
      <c r="N143" s="12">
        <v>4.95</v>
      </c>
      <c r="O143" s="19">
        <v>182.51</v>
      </c>
      <c r="Q143" t="s">
        <v>620</v>
      </c>
    </row>
    <row r="144" spans="3:17" x14ac:dyDescent="0.2">
      <c r="C144" s="1" t="s">
        <v>245</v>
      </c>
      <c r="D144" t="s">
        <v>324</v>
      </c>
      <c r="E144" t="s">
        <v>326</v>
      </c>
      <c r="F144" s="1" t="s">
        <v>460</v>
      </c>
      <c r="H144" s="12" t="s">
        <v>296</v>
      </c>
      <c r="I144" s="11" t="s">
        <v>1822</v>
      </c>
      <c r="J144" s="12" t="s">
        <v>317</v>
      </c>
      <c r="K144" s="13">
        <v>13.7</v>
      </c>
      <c r="L144" s="12">
        <v>269</v>
      </c>
      <c r="M144" s="12">
        <v>410</v>
      </c>
      <c r="N144" s="12">
        <v>4.95</v>
      </c>
      <c r="O144" s="19">
        <v>273.11</v>
      </c>
      <c r="Q144" t="s">
        <v>621</v>
      </c>
    </row>
    <row r="145" spans="3:17" x14ac:dyDescent="0.2">
      <c r="C145" s="1" t="s">
        <v>246</v>
      </c>
      <c r="D145" t="s">
        <v>324</v>
      </c>
      <c r="E145" t="s">
        <v>326</v>
      </c>
      <c r="F145" s="1" t="s">
        <v>461</v>
      </c>
      <c r="H145" s="12" t="s">
        <v>297</v>
      </c>
      <c r="I145" s="11" t="s">
        <v>1823</v>
      </c>
      <c r="J145" s="12" t="s">
        <v>317</v>
      </c>
      <c r="K145" s="13">
        <v>18.100000000000001</v>
      </c>
      <c r="L145" s="12">
        <v>461</v>
      </c>
      <c r="M145" s="12">
        <v>710</v>
      </c>
      <c r="N145" s="12">
        <v>4.95</v>
      </c>
      <c r="O145" s="19">
        <v>480.56</v>
      </c>
      <c r="Q145" t="s">
        <v>622</v>
      </c>
    </row>
    <row r="146" spans="3:17" ht="3.6" customHeight="1" x14ac:dyDescent="0.2">
      <c r="H146" s="15"/>
      <c r="I146" s="16"/>
      <c r="J146" s="15"/>
      <c r="K146" s="17"/>
      <c r="L146" s="15"/>
      <c r="M146" s="15"/>
      <c r="N146" s="15"/>
      <c r="O146" s="20"/>
    </row>
    <row r="147" spans="3:17" x14ac:dyDescent="0.2">
      <c r="C147" s="1" t="s">
        <v>247</v>
      </c>
      <c r="D147" t="s">
        <v>324</v>
      </c>
      <c r="E147" t="s">
        <v>326</v>
      </c>
      <c r="F147" s="1" t="s">
        <v>462</v>
      </c>
      <c r="H147" s="12" t="s">
        <v>298</v>
      </c>
      <c r="I147" s="11" t="s">
        <v>1824</v>
      </c>
      <c r="J147" s="12" t="s">
        <v>318</v>
      </c>
      <c r="K147" s="13">
        <v>11.9</v>
      </c>
      <c r="L147" s="12">
        <v>173</v>
      </c>
      <c r="M147" s="12">
        <v>300</v>
      </c>
      <c r="N147" s="19">
        <v>3.3</v>
      </c>
      <c r="O147" s="19">
        <v>165.91</v>
      </c>
      <c r="Q147" t="s">
        <v>623</v>
      </c>
    </row>
    <row r="148" spans="3:17" x14ac:dyDescent="0.2">
      <c r="C148" s="1" t="s">
        <v>248</v>
      </c>
      <c r="D148" t="s">
        <v>324</v>
      </c>
      <c r="E148" t="s">
        <v>326</v>
      </c>
      <c r="F148" s="1" t="s">
        <v>463</v>
      </c>
      <c r="H148" s="12" t="s">
        <v>299</v>
      </c>
      <c r="I148" s="11" t="s">
        <v>1825</v>
      </c>
      <c r="J148" s="12" t="s">
        <v>318</v>
      </c>
      <c r="K148" s="13">
        <v>13.2</v>
      </c>
      <c r="L148" s="12">
        <v>230</v>
      </c>
      <c r="M148" s="12">
        <v>330</v>
      </c>
      <c r="N148" s="19">
        <v>3.3</v>
      </c>
      <c r="O148" s="19">
        <v>214.62</v>
      </c>
      <c r="Q148" t="s">
        <v>624</v>
      </c>
    </row>
    <row r="149" spans="3:17" x14ac:dyDescent="0.2">
      <c r="C149" s="1" t="s">
        <v>249</v>
      </c>
      <c r="D149" t="s">
        <v>324</v>
      </c>
      <c r="E149" t="s">
        <v>326</v>
      </c>
      <c r="F149" s="1" t="s">
        <v>464</v>
      </c>
      <c r="H149" s="12" t="s">
        <v>300</v>
      </c>
      <c r="I149" s="11" t="s">
        <v>1826</v>
      </c>
      <c r="J149" s="12" t="s">
        <v>318</v>
      </c>
      <c r="K149" s="13">
        <v>14.5</v>
      </c>
      <c r="L149" s="12">
        <v>288</v>
      </c>
      <c r="M149" s="12">
        <v>430</v>
      </c>
      <c r="N149" s="19">
        <v>3.3</v>
      </c>
      <c r="O149" s="19">
        <v>296.74</v>
      </c>
      <c r="Q149" t="s">
        <v>625</v>
      </c>
    </row>
    <row r="150" spans="3:17" x14ac:dyDescent="0.2">
      <c r="C150" s="1" t="s">
        <v>250</v>
      </c>
      <c r="D150" t="s">
        <v>324</v>
      </c>
      <c r="E150" t="s">
        <v>326</v>
      </c>
      <c r="F150" s="1" t="s">
        <v>465</v>
      </c>
      <c r="H150" s="12" t="s">
        <v>301</v>
      </c>
      <c r="I150" s="11" t="s">
        <v>1827</v>
      </c>
      <c r="J150" s="12" t="s">
        <v>318</v>
      </c>
      <c r="K150" s="13">
        <v>16.100000000000001</v>
      </c>
      <c r="L150" s="12">
        <v>403</v>
      </c>
      <c r="M150" s="12">
        <v>600</v>
      </c>
      <c r="N150" s="19">
        <v>3.3</v>
      </c>
      <c r="O150" s="19">
        <v>391.52</v>
      </c>
      <c r="Q150" t="s">
        <v>626</v>
      </c>
    </row>
    <row r="151" spans="3:17" ht="3.6" customHeight="1" x14ac:dyDescent="0.2">
      <c r="H151" s="15"/>
      <c r="I151" s="16"/>
      <c r="J151" s="15"/>
      <c r="K151" s="17"/>
      <c r="L151" s="15"/>
      <c r="M151" s="15"/>
      <c r="N151" s="15"/>
      <c r="O151" s="20"/>
    </row>
    <row r="152" spans="3:17" x14ac:dyDescent="0.2">
      <c r="C152" s="1" t="s">
        <v>251</v>
      </c>
      <c r="D152" t="s">
        <v>324</v>
      </c>
      <c r="E152" t="s">
        <v>326</v>
      </c>
      <c r="F152" s="1" t="s">
        <v>466</v>
      </c>
      <c r="H152" s="12" t="s">
        <v>302</v>
      </c>
      <c r="I152" s="11" t="s">
        <v>1828</v>
      </c>
      <c r="J152" s="12" t="s">
        <v>319</v>
      </c>
      <c r="K152" s="13">
        <v>15</v>
      </c>
      <c r="L152" s="12">
        <v>288</v>
      </c>
      <c r="M152" s="12">
        <v>545</v>
      </c>
      <c r="N152" s="12">
        <v>1.91</v>
      </c>
      <c r="O152" s="19">
        <v>282.26</v>
      </c>
      <c r="Q152" t="s">
        <v>627</v>
      </c>
    </row>
    <row r="153" spans="3:17" x14ac:dyDescent="0.2">
      <c r="C153" s="1" t="s">
        <v>252</v>
      </c>
      <c r="D153" t="s">
        <v>324</v>
      </c>
      <c r="E153" t="s">
        <v>326</v>
      </c>
      <c r="F153" s="1" t="s">
        <v>467</v>
      </c>
      <c r="H153" s="12" t="s">
        <v>303</v>
      </c>
      <c r="I153" s="11" t="s">
        <v>1829</v>
      </c>
      <c r="J153" s="12" t="s">
        <v>319</v>
      </c>
      <c r="K153" s="13">
        <v>16.600000000000001</v>
      </c>
      <c r="L153" s="12">
        <v>384</v>
      </c>
      <c r="M153" s="12">
        <v>750</v>
      </c>
      <c r="N153" s="12">
        <v>1.91</v>
      </c>
      <c r="O153" s="19">
        <v>363.56</v>
      </c>
      <c r="Q153" t="s">
        <v>628</v>
      </c>
    </row>
    <row r="154" spans="3:17" x14ac:dyDescent="0.2">
      <c r="C154" s="1" t="s">
        <v>253</v>
      </c>
      <c r="D154" t="s">
        <v>324</v>
      </c>
      <c r="E154" t="s">
        <v>326</v>
      </c>
      <c r="F154" s="1" t="s">
        <v>468</v>
      </c>
      <c r="H154" s="12" t="s">
        <v>304</v>
      </c>
      <c r="I154" s="11" t="s">
        <v>1830</v>
      </c>
      <c r="J154" s="12" t="s">
        <v>319</v>
      </c>
      <c r="K154" s="13">
        <v>18.399999999999999</v>
      </c>
      <c r="L154" s="12">
        <v>480</v>
      </c>
      <c r="M154" s="12">
        <v>930</v>
      </c>
      <c r="N154" s="12">
        <v>1.91</v>
      </c>
      <c r="O154" s="19">
        <v>477.55</v>
      </c>
      <c r="Q154" t="s">
        <v>629</v>
      </c>
    </row>
    <row r="155" spans="3:17" x14ac:dyDescent="0.2">
      <c r="C155" s="1" t="s">
        <v>254</v>
      </c>
      <c r="D155" t="s">
        <v>324</v>
      </c>
      <c r="E155" t="s">
        <v>326</v>
      </c>
      <c r="F155" s="1" t="s">
        <v>469</v>
      </c>
      <c r="H155" s="12" t="s">
        <v>305</v>
      </c>
      <c r="I155" s="11" t="s">
        <v>1831</v>
      </c>
      <c r="J155" s="12" t="s">
        <v>319</v>
      </c>
      <c r="K155" s="13">
        <v>20.3</v>
      </c>
      <c r="L155" s="12">
        <v>672</v>
      </c>
      <c r="M155" s="12">
        <v>1105</v>
      </c>
      <c r="N155" s="12">
        <v>1.91</v>
      </c>
      <c r="O155" s="19">
        <v>660.65</v>
      </c>
      <c r="Q155" t="s">
        <v>630</v>
      </c>
    </row>
    <row r="156" spans="3:17" ht="3.6" customHeight="1" x14ac:dyDescent="0.2">
      <c r="H156" s="15"/>
      <c r="I156" s="16"/>
      <c r="J156" s="15"/>
      <c r="K156" s="17"/>
      <c r="L156" s="15"/>
      <c r="M156" s="15"/>
      <c r="N156" s="15"/>
      <c r="O156" s="20"/>
    </row>
    <row r="157" spans="3:17" x14ac:dyDescent="0.2">
      <c r="C157" s="1" t="s">
        <v>255</v>
      </c>
      <c r="D157" t="s">
        <v>324</v>
      </c>
      <c r="E157" t="s">
        <v>326</v>
      </c>
      <c r="F157" s="1" t="s">
        <v>470</v>
      </c>
      <c r="H157" s="12" t="s">
        <v>306</v>
      </c>
      <c r="I157" s="11" t="s">
        <v>1832</v>
      </c>
      <c r="J157" s="12" t="s">
        <v>320</v>
      </c>
      <c r="K157" s="13">
        <v>16.8</v>
      </c>
      <c r="L157" s="12">
        <v>461</v>
      </c>
      <c r="M157" s="12">
        <v>830</v>
      </c>
      <c r="N157" s="12">
        <v>1.21</v>
      </c>
      <c r="O157" s="19">
        <v>424</v>
      </c>
      <c r="Q157" t="s">
        <v>631</v>
      </c>
    </row>
    <row r="158" spans="3:17" x14ac:dyDescent="0.2">
      <c r="C158" s="1" t="s">
        <v>256</v>
      </c>
      <c r="D158" t="s">
        <v>324</v>
      </c>
      <c r="E158" t="s">
        <v>326</v>
      </c>
      <c r="F158" s="1" t="s">
        <v>471</v>
      </c>
      <c r="H158" s="12" t="s">
        <v>307</v>
      </c>
      <c r="I158" s="11" t="s">
        <v>1833</v>
      </c>
      <c r="J158" s="12" t="s">
        <v>320</v>
      </c>
      <c r="K158" s="13">
        <v>19.2</v>
      </c>
      <c r="L158" s="12">
        <v>614</v>
      </c>
      <c r="M158" s="12">
        <v>1050</v>
      </c>
      <c r="N158" s="12">
        <v>1.21</v>
      </c>
      <c r="O158" s="19">
        <v>560.02</v>
      </c>
      <c r="Q158" t="s">
        <v>632</v>
      </c>
    </row>
    <row r="159" spans="3:17" x14ac:dyDescent="0.2">
      <c r="C159" s="1" t="s">
        <v>257</v>
      </c>
      <c r="D159" t="s">
        <v>324</v>
      </c>
      <c r="E159" t="s">
        <v>326</v>
      </c>
      <c r="F159" s="1" t="s">
        <v>472</v>
      </c>
      <c r="H159" s="12" t="s">
        <v>308</v>
      </c>
      <c r="I159" s="11" t="s">
        <v>1834</v>
      </c>
      <c r="J159" s="12" t="s">
        <v>320</v>
      </c>
      <c r="K159" s="13">
        <v>21.6</v>
      </c>
      <c r="L159" s="12">
        <v>768</v>
      </c>
      <c r="M159" s="12">
        <v>1300</v>
      </c>
      <c r="N159" s="12">
        <v>1.21</v>
      </c>
      <c r="O159" s="19">
        <v>729.96</v>
      </c>
      <c r="Q159" t="s">
        <v>633</v>
      </c>
    </row>
    <row r="160" spans="3:17" x14ac:dyDescent="0.2">
      <c r="C160" s="1" t="s">
        <v>258</v>
      </c>
      <c r="D160" t="s">
        <v>324</v>
      </c>
      <c r="E160" t="s">
        <v>326</v>
      </c>
      <c r="F160" s="1" t="s">
        <v>473</v>
      </c>
      <c r="H160" s="12" t="s">
        <v>309</v>
      </c>
      <c r="I160" s="11" t="s">
        <v>1835</v>
      </c>
      <c r="J160" s="12" t="s">
        <v>320</v>
      </c>
      <c r="K160" s="13">
        <v>23.8</v>
      </c>
      <c r="L160" s="12">
        <v>1075</v>
      </c>
      <c r="M160" s="12">
        <v>1735</v>
      </c>
      <c r="N160" s="12">
        <v>1.21</v>
      </c>
      <c r="O160" s="19">
        <v>1073.8800000000001</v>
      </c>
      <c r="Q160" t="s">
        <v>634</v>
      </c>
    </row>
    <row r="161" spans="3:17" ht="3.6" customHeight="1" x14ac:dyDescent="0.2">
      <c r="H161" s="15"/>
      <c r="I161" s="16"/>
      <c r="J161" s="15"/>
      <c r="K161" s="17"/>
      <c r="L161" s="15"/>
      <c r="M161" s="15"/>
      <c r="N161" s="15"/>
      <c r="O161" s="20"/>
    </row>
    <row r="162" spans="3:17" x14ac:dyDescent="0.2">
      <c r="C162" s="1" t="s">
        <v>259</v>
      </c>
      <c r="D162" t="s">
        <v>324</v>
      </c>
      <c r="E162" t="s">
        <v>326</v>
      </c>
      <c r="F162" s="1" t="s">
        <v>474</v>
      </c>
      <c r="H162" s="12" t="s">
        <v>310</v>
      </c>
      <c r="I162" s="11" t="s">
        <v>1836</v>
      </c>
      <c r="J162" s="12" t="s">
        <v>321</v>
      </c>
      <c r="K162" s="13">
        <v>22.8</v>
      </c>
      <c r="L162" s="12">
        <v>720</v>
      </c>
      <c r="M162" s="12">
        <v>1065</v>
      </c>
      <c r="N162" s="37">
        <v>0.78</v>
      </c>
      <c r="O162" s="19">
        <v>654</v>
      </c>
      <c r="Q162" t="s">
        <v>635</v>
      </c>
    </row>
    <row r="163" spans="3:17" x14ac:dyDescent="0.2">
      <c r="C163" s="1" t="s">
        <v>260</v>
      </c>
      <c r="D163" t="s">
        <v>324</v>
      </c>
      <c r="E163" t="s">
        <v>326</v>
      </c>
      <c r="F163" s="1" t="s">
        <v>475</v>
      </c>
      <c r="H163" s="12" t="s">
        <v>311</v>
      </c>
      <c r="I163" s="11" t="s">
        <v>1837</v>
      </c>
      <c r="J163" s="12" t="s">
        <v>321</v>
      </c>
      <c r="K163" s="13">
        <v>23.9</v>
      </c>
      <c r="L163" s="12">
        <v>960</v>
      </c>
      <c r="M163" s="12">
        <v>1675</v>
      </c>
      <c r="N163" s="37">
        <v>0.78</v>
      </c>
      <c r="O163" s="19">
        <v>866.43</v>
      </c>
      <c r="Q163" t="s">
        <v>636</v>
      </c>
    </row>
    <row r="164" spans="3:17" x14ac:dyDescent="0.2">
      <c r="C164" s="1" t="s">
        <v>261</v>
      </c>
      <c r="D164" t="s">
        <v>324</v>
      </c>
      <c r="E164" t="s">
        <v>326</v>
      </c>
      <c r="F164" s="1" t="s">
        <v>476</v>
      </c>
      <c r="H164" s="12" t="s">
        <v>312</v>
      </c>
      <c r="I164" s="11" t="s">
        <v>1838</v>
      </c>
      <c r="J164" s="12" t="s">
        <v>321</v>
      </c>
      <c r="K164" s="13">
        <v>26.8</v>
      </c>
      <c r="L164" s="12">
        <v>1200</v>
      </c>
      <c r="M164" s="12">
        <v>2100</v>
      </c>
      <c r="N164" s="37">
        <v>0.78</v>
      </c>
      <c r="O164" s="19">
        <v>1109.24</v>
      </c>
      <c r="Q164" t="s">
        <v>637</v>
      </c>
    </row>
    <row r="165" spans="3:17" x14ac:dyDescent="0.2">
      <c r="C165" s="1" t="s">
        <v>262</v>
      </c>
      <c r="D165" t="s">
        <v>324</v>
      </c>
      <c r="E165" t="s">
        <v>326</v>
      </c>
      <c r="F165" s="1" t="s">
        <v>477</v>
      </c>
      <c r="H165" s="12" t="s">
        <v>313</v>
      </c>
      <c r="I165" s="11" t="s">
        <v>1839</v>
      </c>
      <c r="J165" s="12" t="s">
        <v>321</v>
      </c>
      <c r="K165" s="13">
        <v>31</v>
      </c>
      <c r="L165" s="12">
        <v>1680</v>
      </c>
      <c r="M165" s="12">
        <v>2705</v>
      </c>
      <c r="N165" s="37">
        <v>0.78</v>
      </c>
      <c r="O165" s="19" t="s">
        <v>904</v>
      </c>
      <c r="Q165" t="s">
        <v>638</v>
      </c>
    </row>
    <row r="166" spans="3:17" ht="3.6" customHeight="1" x14ac:dyDescent="0.2">
      <c r="H166" s="15"/>
      <c r="I166" s="16"/>
      <c r="J166" s="15"/>
      <c r="K166" s="17"/>
      <c r="L166" s="15"/>
      <c r="M166" s="15"/>
      <c r="N166" s="15"/>
      <c r="O166" s="20"/>
    </row>
    <row r="167" spans="3:17" x14ac:dyDescent="0.2">
      <c r="C167" s="1" t="s">
        <v>263</v>
      </c>
      <c r="D167" t="s">
        <v>324</v>
      </c>
      <c r="E167" t="s">
        <v>326</v>
      </c>
      <c r="F167" s="1" t="s">
        <v>478</v>
      </c>
      <c r="H167" s="12" t="s">
        <v>314</v>
      </c>
      <c r="I167" s="11" t="s">
        <v>1840</v>
      </c>
      <c r="J167" s="12" t="s">
        <v>322</v>
      </c>
      <c r="K167" s="13">
        <v>28.4</v>
      </c>
      <c r="L167" s="12">
        <v>1344</v>
      </c>
      <c r="M167" s="12">
        <v>2050</v>
      </c>
      <c r="N167" s="12">
        <v>0.55400000000000005</v>
      </c>
      <c r="O167" s="19">
        <v>1289.1199999999999</v>
      </c>
      <c r="Q167" t="s">
        <v>639</v>
      </c>
    </row>
    <row r="168" spans="3:17" x14ac:dyDescent="0.2">
      <c r="C168" s="1" t="s">
        <v>264</v>
      </c>
      <c r="D168" t="s">
        <v>324</v>
      </c>
      <c r="E168" t="s">
        <v>326</v>
      </c>
      <c r="F168" s="1" t="s">
        <v>479</v>
      </c>
      <c r="H168" s="12" t="s">
        <v>315</v>
      </c>
      <c r="I168" s="11" t="s">
        <v>1841</v>
      </c>
      <c r="J168" s="12" t="s">
        <v>322</v>
      </c>
      <c r="K168" s="13">
        <v>32.1</v>
      </c>
      <c r="L168" s="12">
        <v>1680</v>
      </c>
      <c r="M168" s="12">
        <v>2635</v>
      </c>
      <c r="N168" s="12">
        <v>0.55400000000000005</v>
      </c>
      <c r="O168" s="19">
        <v>1593.62</v>
      </c>
      <c r="Q168" t="s">
        <v>640</v>
      </c>
    </row>
  </sheetData>
  <mergeCells count="1">
    <mergeCell ref="I4:I5"/>
  </mergeCells>
  <pageMargins left="0.17" right="0.17" top="0.24" bottom="0.17" header="0.3" footer="0.3"/>
  <pageSetup scale="8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A938E-9B59-40CB-85F8-0DC3A310C414}">
  <sheetPr>
    <tabColor rgb="FF00B0F0"/>
  </sheetPr>
  <dimension ref="C1:Q168"/>
  <sheetViews>
    <sheetView topLeftCell="G1" zoomScaleNormal="100" workbookViewId="0">
      <selection activeCell="K6" sqref="K6:O168"/>
    </sheetView>
  </sheetViews>
  <sheetFormatPr defaultRowHeight="14.25" x14ac:dyDescent="0.2"/>
  <cols>
    <col min="1" max="2" width="0" hidden="1" customWidth="1"/>
    <col min="3" max="3" width="13.125" style="1" hidden="1" customWidth="1"/>
    <col min="4" max="4" width="20.375" hidden="1" customWidth="1"/>
    <col min="5" max="5" width="7" hidden="1" customWidth="1"/>
    <col min="6" max="6" width="14.375" style="1" hidden="1" customWidth="1"/>
    <col min="7" max="7" width="4.75" style="1" customWidth="1"/>
    <col min="8" max="8" width="14.375" style="1" customWidth="1"/>
    <col min="9" max="9" width="40.25" style="1" customWidth="1"/>
    <col min="10" max="10" width="19" style="1" customWidth="1"/>
    <col min="11" max="11" width="9.375" style="3" bestFit="1" customWidth="1"/>
    <col min="12" max="13" width="9.75" style="1" bestFit="1" customWidth="1"/>
    <col min="14" max="14" width="17.875" style="1" bestFit="1" customWidth="1"/>
    <col min="15" max="15" width="14.75" style="21" customWidth="1"/>
    <col min="16" max="16" width="17.875" style="1" customWidth="1"/>
    <col min="17" max="17" width="50.125" customWidth="1"/>
  </cols>
  <sheetData>
    <row r="1" spans="3:17" x14ac:dyDescent="0.2">
      <c r="K1" s="1"/>
    </row>
    <row r="2" spans="3:17" x14ac:dyDescent="0.2">
      <c r="I2" s="34" t="s">
        <v>641</v>
      </c>
      <c r="K2" s="1"/>
      <c r="O2" s="22" t="s">
        <v>806</v>
      </c>
    </row>
    <row r="3" spans="3:17" x14ac:dyDescent="0.2">
      <c r="K3" s="1"/>
    </row>
    <row r="4" spans="3:17" s="5" customFormat="1" ht="20.45" customHeight="1" x14ac:dyDescent="0.2">
      <c r="C4" s="4" t="s">
        <v>131</v>
      </c>
      <c r="F4" s="4"/>
      <c r="G4" s="4"/>
      <c r="H4" s="6" t="s">
        <v>164</v>
      </c>
      <c r="I4" s="38" t="s">
        <v>480</v>
      </c>
      <c r="J4" s="6" t="s">
        <v>486</v>
      </c>
      <c r="K4" s="7" t="s">
        <v>170</v>
      </c>
      <c r="L4" s="6" t="s">
        <v>481</v>
      </c>
      <c r="M4" s="6" t="s">
        <v>482</v>
      </c>
      <c r="N4" s="6" t="s">
        <v>172</v>
      </c>
      <c r="O4" s="6" t="s">
        <v>913</v>
      </c>
      <c r="P4" s="1"/>
    </row>
    <row r="5" spans="3:17" s="5" customFormat="1" ht="20.45" customHeight="1" x14ac:dyDescent="0.2">
      <c r="C5" s="4"/>
      <c r="F5" s="4"/>
      <c r="G5" s="4"/>
      <c r="H5" s="8" t="s">
        <v>484</v>
      </c>
      <c r="I5" s="39"/>
      <c r="J5" s="8" t="s">
        <v>169</v>
      </c>
      <c r="K5" s="9" t="s">
        <v>483</v>
      </c>
      <c r="L5" s="8" t="s">
        <v>171</v>
      </c>
      <c r="M5" s="8" t="s">
        <v>171</v>
      </c>
      <c r="N5" s="10" t="s">
        <v>485</v>
      </c>
      <c r="O5" s="24" t="s">
        <v>914</v>
      </c>
      <c r="P5" s="1"/>
      <c r="Q5" s="14" t="s">
        <v>807</v>
      </c>
    </row>
    <row r="6" spans="3:17" x14ac:dyDescent="0.2">
      <c r="C6" s="1" t="s">
        <v>85</v>
      </c>
      <c r="D6" t="s">
        <v>323</v>
      </c>
      <c r="E6" t="s">
        <v>325</v>
      </c>
      <c r="F6" s="2" t="s">
        <v>327</v>
      </c>
      <c r="G6" s="2"/>
      <c r="H6" s="12" t="s">
        <v>165</v>
      </c>
      <c r="I6" s="11" t="s">
        <v>1083</v>
      </c>
      <c r="J6" s="12" t="s">
        <v>24</v>
      </c>
      <c r="K6" s="13">
        <v>4.9000000000000004</v>
      </c>
      <c r="L6" s="13">
        <v>9.6</v>
      </c>
      <c r="M6" s="12">
        <v>38</v>
      </c>
      <c r="N6" s="13">
        <v>39</v>
      </c>
      <c r="O6" s="19">
        <v>14.44</v>
      </c>
      <c r="Q6" t="s">
        <v>488</v>
      </c>
    </row>
    <row r="7" spans="3:17" x14ac:dyDescent="0.2">
      <c r="C7" s="1" t="s">
        <v>86</v>
      </c>
      <c r="D7" t="s">
        <v>324</v>
      </c>
      <c r="E7" t="s">
        <v>326</v>
      </c>
      <c r="F7" s="1" t="s">
        <v>333</v>
      </c>
      <c r="H7" s="12" t="s">
        <v>0</v>
      </c>
      <c r="I7" s="11" t="s">
        <v>1084</v>
      </c>
      <c r="J7" s="12" t="s">
        <v>24</v>
      </c>
      <c r="K7" s="13">
        <v>5.2</v>
      </c>
      <c r="L7" s="13">
        <v>14.4</v>
      </c>
      <c r="M7" s="12">
        <v>47</v>
      </c>
      <c r="N7" s="13">
        <v>39</v>
      </c>
      <c r="O7" s="19">
        <v>19.54</v>
      </c>
      <c r="Q7" t="s">
        <v>489</v>
      </c>
    </row>
    <row r="8" spans="3:17" x14ac:dyDescent="0.2">
      <c r="C8" s="1" t="s">
        <v>87</v>
      </c>
      <c r="D8" t="s">
        <v>324</v>
      </c>
      <c r="E8" t="s">
        <v>326</v>
      </c>
      <c r="F8" s="1" t="s">
        <v>334</v>
      </c>
      <c r="H8" s="12" t="s">
        <v>1</v>
      </c>
      <c r="I8" s="11" t="s">
        <v>1085</v>
      </c>
      <c r="J8" s="12" t="s">
        <v>24</v>
      </c>
      <c r="K8" s="13">
        <v>5.7</v>
      </c>
      <c r="L8" s="13">
        <v>19.2</v>
      </c>
      <c r="M8" s="12">
        <v>58</v>
      </c>
      <c r="N8" s="13">
        <v>39</v>
      </c>
      <c r="O8" s="19">
        <v>24.37</v>
      </c>
      <c r="Q8" t="s">
        <v>490</v>
      </c>
    </row>
    <row r="9" spans="3:17" x14ac:dyDescent="0.2">
      <c r="C9" s="1" t="s">
        <v>88</v>
      </c>
      <c r="D9" t="s">
        <v>324</v>
      </c>
      <c r="E9" t="s">
        <v>326</v>
      </c>
      <c r="F9" s="1" t="s">
        <v>335</v>
      </c>
      <c r="H9" s="12" t="s">
        <v>3</v>
      </c>
      <c r="I9" s="11" t="s">
        <v>1086</v>
      </c>
      <c r="J9" s="12" t="s">
        <v>24</v>
      </c>
      <c r="K9" s="13">
        <v>6</v>
      </c>
      <c r="L9" s="13">
        <v>24</v>
      </c>
      <c r="M9" s="12">
        <v>75</v>
      </c>
      <c r="N9" s="13">
        <v>39</v>
      </c>
      <c r="O9" s="19">
        <v>30.34</v>
      </c>
      <c r="Q9" t="s">
        <v>491</v>
      </c>
    </row>
    <row r="10" spans="3:17" x14ac:dyDescent="0.2">
      <c r="C10" s="1" t="s">
        <v>89</v>
      </c>
      <c r="D10" t="s">
        <v>324</v>
      </c>
      <c r="E10" t="s">
        <v>326</v>
      </c>
      <c r="F10" s="1" t="s">
        <v>336</v>
      </c>
      <c r="H10" s="12" t="s">
        <v>2</v>
      </c>
      <c r="I10" s="11" t="s">
        <v>1087</v>
      </c>
      <c r="J10" s="12" t="s">
        <v>24</v>
      </c>
      <c r="K10" s="13">
        <v>6.5</v>
      </c>
      <c r="L10" s="13">
        <v>28.8</v>
      </c>
      <c r="M10" s="12">
        <v>89</v>
      </c>
      <c r="N10" s="13">
        <v>39</v>
      </c>
      <c r="O10" s="19">
        <v>40</v>
      </c>
      <c r="Q10" t="s">
        <v>492</v>
      </c>
    </row>
    <row r="11" spans="3:17" x14ac:dyDescent="0.2">
      <c r="C11" s="1" t="s">
        <v>90</v>
      </c>
      <c r="D11" t="s">
        <v>324</v>
      </c>
      <c r="E11" t="s">
        <v>326</v>
      </c>
      <c r="F11" s="1" t="s">
        <v>337</v>
      </c>
      <c r="H11" s="12" t="s">
        <v>4</v>
      </c>
      <c r="I11" s="11" t="s">
        <v>1088</v>
      </c>
      <c r="J11" s="12" t="s">
        <v>24</v>
      </c>
      <c r="K11" s="13">
        <v>7.1</v>
      </c>
      <c r="L11" s="13">
        <v>33.6</v>
      </c>
      <c r="M11" s="12">
        <v>93</v>
      </c>
      <c r="N11" s="13">
        <v>39</v>
      </c>
      <c r="O11" s="19">
        <v>44.58</v>
      </c>
      <c r="Q11" t="s">
        <v>493</v>
      </c>
    </row>
    <row r="12" spans="3:17" x14ac:dyDescent="0.2">
      <c r="C12" s="1" t="s">
        <v>91</v>
      </c>
      <c r="D12" t="s">
        <v>324</v>
      </c>
      <c r="E12" t="s">
        <v>326</v>
      </c>
      <c r="F12" s="1" t="s">
        <v>338</v>
      </c>
      <c r="H12" s="12" t="s">
        <v>5</v>
      </c>
      <c r="I12" s="11" t="s">
        <v>1089</v>
      </c>
      <c r="J12" s="12" t="s">
        <v>24</v>
      </c>
      <c r="K12" s="13">
        <v>7.7</v>
      </c>
      <c r="L12" s="13">
        <v>38.4</v>
      </c>
      <c r="M12" s="12">
        <v>110</v>
      </c>
      <c r="N12" s="13">
        <v>39</v>
      </c>
      <c r="O12" s="19">
        <v>51.4</v>
      </c>
      <c r="Q12" t="s">
        <v>494</v>
      </c>
    </row>
    <row r="13" spans="3:17" x14ac:dyDescent="0.2">
      <c r="C13" s="1" t="s">
        <v>92</v>
      </c>
      <c r="D13" t="s">
        <v>324</v>
      </c>
      <c r="E13" t="s">
        <v>326</v>
      </c>
      <c r="F13" s="1" t="s">
        <v>339</v>
      </c>
      <c r="H13" s="12" t="s">
        <v>6</v>
      </c>
      <c r="I13" s="11" t="s">
        <v>1090</v>
      </c>
      <c r="J13" s="12" t="s">
        <v>24</v>
      </c>
      <c r="K13" s="13">
        <v>8.6</v>
      </c>
      <c r="L13" s="13">
        <v>48</v>
      </c>
      <c r="M13" s="12">
        <v>140</v>
      </c>
      <c r="N13" s="13">
        <v>39</v>
      </c>
      <c r="O13" s="19">
        <v>64.42</v>
      </c>
      <c r="Q13" t="s">
        <v>495</v>
      </c>
    </row>
    <row r="14" spans="3:17" x14ac:dyDescent="0.2">
      <c r="C14" s="1" t="s">
        <v>93</v>
      </c>
      <c r="D14" t="s">
        <v>324</v>
      </c>
      <c r="E14" t="s">
        <v>326</v>
      </c>
      <c r="F14" s="1" t="s">
        <v>340</v>
      </c>
      <c r="H14" s="12" t="s">
        <v>7</v>
      </c>
      <c r="I14" s="11" t="s">
        <v>1091</v>
      </c>
      <c r="J14" s="12" t="s">
        <v>24</v>
      </c>
      <c r="K14" s="13">
        <v>9.1</v>
      </c>
      <c r="L14" s="13">
        <v>58</v>
      </c>
      <c r="M14" s="12">
        <v>150</v>
      </c>
      <c r="N14" s="13">
        <v>39</v>
      </c>
      <c r="O14" s="19">
        <v>75.540000000000006</v>
      </c>
      <c r="Q14" t="s">
        <v>496</v>
      </c>
    </row>
    <row r="15" spans="3:17" x14ac:dyDescent="0.2">
      <c r="C15" s="1" t="s">
        <v>132</v>
      </c>
      <c r="D15" t="s">
        <v>324</v>
      </c>
      <c r="E15" t="s">
        <v>326</v>
      </c>
      <c r="F15" s="1" t="s">
        <v>341</v>
      </c>
      <c r="H15" s="12" t="s">
        <v>8</v>
      </c>
      <c r="I15" s="11" t="s">
        <v>1092</v>
      </c>
      <c r="J15" s="12" t="s">
        <v>24</v>
      </c>
      <c r="K15" s="13">
        <v>9.3000000000000007</v>
      </c>
      <c r="L15" s="13">
        <v>67</v>
      </c>
      <c r="M15" s="12">
        <v>170</v>
      </c>
      <c r="N15" s="13">
        <v>39</v>
      </c>
      <c r="O15" s="19">
        <v>90.65</v>
      </c>
      <c r="Q15" t="s">
        <v>497</v>
      </c>
    </row>
    <row r="16" spans="3:17" x14ac:dyDescent="0.2">
      <c r="C16" s="1" t="s">
        <v>133</v>
      </c>
      <c r="D16" t="s">
        <v>324</v>
      </c>
      <c r="E16" t="s">
        <v>326</v>
      </c>
      <c r="F16" s="1" t="s">
        <v>342</v>
      </c>
      <c r="H16" s="12" t="s">
        <v>9</v>
      </c>
      <c r="I16" s="11" t="s">
        <v>1093</v>
      </c>
      <c r="J16" s="12" t="s">
        <v>24</v>
      </c>
      <c r="K16" s="13">
        <v>10.4</v>
      </c>
      <c r="L16" s="13">
        <v>77</v>
      </c>
      <c r="M16" s="12">
        <v>195</v>
      </c>
      <c r="N16" s="13">
        <v>39</v>
      </c>
      <c r="O16" s="19">
        <v>101.46</v>
      </c>
      <c r="Q16" t="s">
        <v>498</v>
      </c>
    </row>
    <row r="17" spans="3:17" x14ac:dyDescent="0.2">
      <c r="C17" s="1" t="s">
        <v>134</v>
      </c>
      <c r="D17" t="s">
        <v>324</v>
      </c>
      <c r="E17" t="s">
        <v>326</v>
      </c>
      <c r="F17" s="1" t="s">
        <v>343</v>
      </c>
      <c r="H17" s="12" t="s">
        <v>10</v>
      </c>
      <c r="I17" s="11" t="s">
        <v>1094</v>
      </c>
      <c r="J17" s="12" t="s">
        <v>24</v>
      </c>
      <c r="K17" s="13">
        <v>10.8</v>
      </c>
      <c r="L17" s="13">
        <v>86</v>
      </c>
      <c r="M17" s="12">
        <v>215</v>
      </c>
      <c r="N17" s="13">
        <v>39</v>
      </c>
      <c r="O17" s="19">
        <v>113.29</v>
      </c>
      <c r="Q17" t="s">
        <v>499</v>
      </c>
    </row>
    <row r="18" spans="3:17" x14ac:dyDescent="0.2">
      <c r="C18" s="1" t="s">
        <v>135</v>
      </c>
      <c r="D18" t="s">
        <v>324</v>
      </c>
      <c r="E18" t="s">
        <v>326</v>
      </c>
      <c r="F18" s="1" t="s">
        <v>344</v>
      </c>
      <c r="H18" s="12" t="s">
        <v>11</v>
      </c>
      <c r="I18" s="11" t="s">
        <v>1095</v>
      </c>
      <c r="J18" s="12" t="s">
        <v>24</v>
      </c>
      <c r="K18" s="13">
        <v>11.8</v>
      </c>
      <c r="L18" s="13">
        <v>96</v>
      </c>
      <c r="M18" s="12">
        <v>230</v>
      </c>
      <c r="N18" s="13">
        <v>39</v>
      </c>
      <c r="O18" s="19">
        <v>123.86</v>
      </c>
      <c r="Q18" t="s">
        <v>500</v>
      </c>
    </row>
    <row r="19" spans="3:17" x14ac:dyDescent="0.2">
      <c r="C19" s="1" t="s">
        <v>136</v>
      </c>
      <c r="D19" t="s">
        <v>324</v>
      </c>
      <c r="E19" t="s">
        <v>326</v>
      </c>
      <c r="F19" s="1" t="s">
        <v>345</v>
      </c>
      <c r="H19" s="12" t="s">
        <v>12</v>
      </c>
      <c r="I19" s="11" t="s">
        <v>1096</v>
      </c>
      <c r="J19" s="12" t="s">
        <v>24</v>
      </c>
      <c r="K19" s="13">
        <v>12</v>
      </c>
      <c r="L19" s="12">
        <v>101</v>
      </c>
      <c r="M19" s="12">
        <v>245</v>
      </c>
      <c r="N19" s="13">
        <v>39</v>
      </c>
      <c r="O19" s="19">
        <v>135.44</v>
      </c>
      <c r="Q19" t="s">
        <v>501</v>
      </c>
    </row>
    <row r="20" spans="3:17" x14ac:dyDescent="0.2">
      <c r="C20" s="1" t="s">
        <v>137</v>
      </c>
      <c r="D20" t="s">
        <v>324</v>
      </c>
      <c r="E20" t="s">
        <v>326</v>
      </c>
      <c r="F20" s="1" t="s">
        <v>346</v>
      </c>
      <c r="H20" s="12" t="s">
        <v>13</v>
      </c>
      <c r="I20" s="11" t="s">
        <v>1097</v>
      </c>
      <c r="J20" s="12" t="s">
        <v>24</v>
      </c>
      <c r="K20" s="13">
        <v>12.8</v>
      </c>
      <c r="L20" s="12">
        <v>120</v>
      </c>
      <c r="M20" s="12">
        <v>280</v>
      </c>
      <c r="N20" s="13">
        <v>39</v>
      </c>
      <c r="O20" s="19">
        <v>152.66</v>
      </c>
      <c r="Q20" t="s">
        <v>502</v>
      </c>
    </row>
    <row r="21" spans="3:17" x14ac:dyDescent="0.2">
      <c r="C21" s="1" t="s">
        <v>138</v>
      </c>
      <c r="D21" t="s">
        <v>324</v>
      </c>
      <c r="E21" t="s">
        <v>326</v>
      </c>
      <c r="F21" s="1" t="s">
        <v>347</v>
      </c>
      <c r="H21" s="12" t="s">
        <v>14</v>
      </c>
      <c r="I21" s="11" t="s">
        <v>1098</v>
      </c>
      <c r="J21" s="12" t="s">
        <v>24</v>
      </c>
      <c r="K21" s="13">
        <v>13.7</v>
      </c>
      <c r="L21" s="12">
        <v>144</v>
      </c>
      <c r="M21" s="12">
        <v>310</v>
      </c>
      <c r="N21" s="13">
        <v>39</v>
      </c>
      <c r="O21" s="19">
        <v>184.45</v>
      </c>
      <c r="Q21" t="s">
        <v>503</v>
      </c>
    </row>
    <row r="22" spans="3:17" x14ac:dyDescent="0.2">
      <c r="C22" s="1" t="s">
        <v>139</v>
      </c>
      <c r="D22" t="s">
        <v>324</v>
      </c>
      <c r="E22" t="s">
        <v>326</v>
      </c>
      <c r="F22" s="1" t="s">
        <v>348</v>
      </c>
      <c r="H22" s="12" t="s">
        <v>166</v>
      </c>
      <c r="I22" s="11" t="s">
        <v>1099</v>
      </c>
      <c r="J22" s="12" t="s">
        <v>24</v>
      </c>
      <c r="K22" s="13">
        <v>14</v>
      </c>
      <c r="L22" s="12">
        <v>154</v>
      </c>
      <c r="M22" s="12">
        <v>345</v>
      </c>
      <c r="N22" s="13">
        <v>39</v>
      </c>
      <c r="O22" s="19">
        <v>199</v>
      </c>
      <c r="Q22" t="s">
        <v>504</v>
      </c>
    </row>
    <row r="23" spans="3:17" x14ac:dyDescent="0.2">
      <c r="C23" s="1" t="s">
        <v>140</v>
      </c>
      <c r="D23" t="s">
        <v>324</v>
      </c>
      <c r="E23" t="s">
        <v>326</v>
      </c>
      <c r="F23" s="1" t="s">
        <v>349</v>
      </c>
      <c r="H23" s="12" t="s">
        <v>15</v>
      </c>
      <c r="I23" s="11" t="s">
        <v>1100</v>
      </c>
      <c r="J23" s="12" t="s">
        <v>24</v>
      </c>
      <c r="K23" s="13">
        <v>14.9</v>
      </c>
      <c r="L23" s="12">
        <v>168</v>
      </c>
      <c r="M23" s="12">
        <v>390</v>
      </c>
      <c r="N23" s="13">
        <v>39</v>
      </c>
      <c r="O23" s="19">
        <f>35/34*228.36</f>
        <v>235.07647058823528</v>
      </c>
      <c r="Q23" t="s">
        <v>505</v>
      </c>
    </row>
    <row r="24" spans="3:17" x14ac:dyDescent="0.2">
      <c r="C24" s="1" t="s">
        <v>141</v>
      </c>
      <c r="D24" t="s">
        <v>324</v>
      </c>
      <c r="E24" t="s">
        <v>326</v>
      </c>
      <c r="F24" s="1" t="s">
        <v>350</v>
      </c>
      <c r="H24" s="12" t="s">
        <v>16</v>
      </c>
      <c r="I24" s="11" t="s">
        <v>1101</v>
      </c>
      <c r="J24" s="12" t="s">
        <v>24</v>
      </c>
      <c r="K24" s="13">
        <v>15.6</v>
      </c>
      <c r="L24" s="12">
        <v>192</v>
      </c>
      <c r="M24" s="12">
        <v>450</v>
      </c>
      <c r="N24" s="13">
        <v>39</v>
      </c>
      <c r="O24" s="19">
        <f>O25/42*40</f>
        <v>316.97142857142859</v>
      </c>
      <c r="Q24" t="s">
        <v>506</v>
      </c>
    </row>
    <row r="25" spans="3:17" x14ac:dyDescent="0.2">
      <c r="C25" s="1" t="s">
        <v>142</v>
      </c>
      <c r="D25" t="s">
        <v>324</v>
      </c>
      <c r="E25" t="s">
        <v>326</v>
      </c>
      <c r="F25" s="1" t="s">
        <v>351</v>
      </c>
      <c r="H25" s="12" t="s">
        <v>17</v>
      </c>
      <c r="I25" s="11" t="s">
        <v>1102</v>
      </c>
      <c r="J25" s="12" t="s">
        <v>24</v>
      </c>
      <c r="K25" s="13">
        <v>16.2</v>
      </c>
      <c r="L25" s="12">
        <v>202</v>
      </c>
      <c r="M25" s="12">
        <v>470</v>
      </c>
      <c r="N25" s="13">
        <v>39</v>
      </c>
      <c r="O25" s="19">
        <v>332.82</v>
      </c>
      <c r="Q25" t="s">
        <v>507</v>
      </c>
    </row>
    <row r="26" spans="3:17" x14ac:dyDescent="0.2">
      <c r="C26" s="1" t="s">
        <v>143</v>
      </c>
      <c r="D26" t="s">
        <v>324</v>
      </c>
      <c r="E26" t="s">
        <v>326</v>
      </c>
      <c r="F26" s="1" t="s">
        <v>352</v>
      </c>
      <c r="H26" s="12" t="s">
        <v>18</v>
      </c>
      <c r="I26" s="11" t="s">
        <v>1103</v>
      </c>
      <c r="J26" s="12" t="s">
        <v>24</v>
      </c>
      <c r="K26" s="13">
        <v>17.600000000000001</v>
      </c>
      <c r="L26" s="12">
        <v>240</v>
      </c>
      <c r="M26" s="12">
        <v>510</v>
      </c>
      <c r="N26" s="13">
        <v>39</v>
      </c>
      <c r="O26" s="19">
        <v>409.97</v>
      </c>
      <c r="Q26" t="s">
        <v>508</v>
      </c>
    </row>
    <row r="27" spans="3:17" x14ac:dyDescent="0.2">
      <c r="C27" s="1" t="s">
        <v>144</v>
      </c>
      <c r="D27" t="s">
        <v>324</v>
      </c>
      <c r="E27" t="s">
        <v>326</v>
      </c>
      <c r="F27" s="1" t="s">
        <v>353</v>
      </c>
      <c r="H27" s="12" t="s">
        <v>19</v>
      </c>
      <c r="I27" s="11" t="s">
        <v>1104</v>
      </c>
      <c r="J27" s="12" t="s">
        <v>24</v>
      </c>
      <c r="K27" s="13">
        <v>17.7</v>
      </c>
      <c r="L27" s="12">
        <v>252</v>
      </c>
      <c r="M27" s="12">
        <v>530</v>
      </c>
      <c r="N27" s="13">
        <v>39</v>
      </c>
      <c r="O27" s="19">
        <f>O26/50*52</f>
        <v>426.36880000000002</v>
      </c>
      <c r="Q27" t="s">
        <v>509</v>
      </c>
    </row>
    <row r="28" spans="3:17" x14ac:dyDescent="0.2">
      <c r="C28" s="1" t="s">
        <v>145</v>
      </c>
      <c r="D28" t="s">
        <v>324</v>
      </c>
      <c r="E28" t="s">
        <v>326</v>
      </c>
      <c r="F28" s="1" t="s">
        <v>354</v>
      </c>
      <c r="H28" s="12" t="s">
        <v>20</v>
      </c>
      <c r="I28" s="11" t="s">
        <v>1105</v>
      </c>
      <c r="J28" s="12" t="s">
        <v>24</v>
      </c>
      <c r="K28" s="13">
        <v>18.899999999999999</v>
      </c>
      <c r="L28" s="12">
        <v>293</v>
      </c>
      <c r="M28" s="12">
        <v>650</v>
      </c>
      <c r="N28" s="13">
        <v>39</v>
      </c>
      <c r="O28" s="19">
        <v>468.07</v>
      </c>
      <c r="Q28" t="s">
        <v>510</v>
      </c>
    </row>
    <row r="29" spans="3:17" x14ac:dyDescent="0.2">
      <c r="C29" s="1" t="s">
        <v>146</v>
      </c>
      <c r="D29" t="s">
        <v>324</v>
      </c>
      <c r="E29" t="s">
        <v>326</v>
      </c>
      <c r="F29" s="1" t="s">
        <v>355</v>
      </c>
      <c r="H29" s="12" t="s">
        <v>21</v>
      </c>
      <c r="I29" s="11" t="s">
        <v>1106</v>
      </c>
      <c r="J29" s="12" t="s">
        <v>24</v>
      </c>
      <c r="K29" s="13">
        <v>19.8</v>
      </c>
      <c r="L29" s="12">
        <v>312</v>
      </c>
      <c r="M29" s="12">
        <v>685</v>
      </c>
      <c r="N29" s="13">
        <v>39</v>
      </c>
      <c r="O29" s="19" t="s">
        <v>904</v>
      </c>
      <c r="Q29" t="s">
        <v>511</v>
      </c>
    </row>
    <row r="30" spans="3:17" x14ac:dyDescent="0.2">
      <c r="C30" s="1" t="s">
        <v>147</v>
      </c>
      <c r="D30" t="s">
        <v>324</v>
      </c>
      <c r="E30" t="s">
        <v>326</v>
      </c>
      <c r="F30" s="1" t="s">
        <v>356</v>
      </c>
      <c r="H30" s="12" t="s">
        <v>22</v>
      </c>
      <c r="I30" s="11" t="s">
        <v>1107</v>
      </c>
      <c r="J30" s="12" t="s">
        <v>24</v>
      </c>
      <c r="K30" s="13">
        <v>21.5</v>
      </c>
      <c r="L30" s="12">
        <v>384</v>
      </c>
      <c r="M30" s="12">
        <v>780</v>
      </c>
      <c r="N30" s="13">
        <v>39</v>
      </c>
      <c r="O30" s="19" t="s">
        <v>904</v>
      </c>
      <c r="Q30" t="s">
        <v>512</v>
      </c>
    </row>
    <row r="31" spans="3:17" x14ac:dyDescent="0.2">
      <c r="C31" s="1" t="s">
        <v>148</v>
      </c>
      <c r="D31" t="s">
        <v>324</v>
      </c>
      <c r="E31" t="s">
        <v>326</v>
      </c>
      <c r="F31" s="1" t="s">
        <v>357</v>
      </c>
      <c r="H31" s="12" t="s">
        <v>23</v>
      </c>
      <c r="I31" s="11" t="s">
        <v>1108</v>
      </c>
      <c r="J31" s="12" t="s">
        <v>24</v>
      </c>
      <c r="K31" s="13">
        <v>23.9</v>
      </c>
      <c r="L31" s="12">
        <v>480</v>
      </c>
      <c r="M31" s="12">
        <v>970</v>
      </c>
      <c r="N31" s="13">
        <v>39</v>
      </c>
      <c r="O31" s="19" t="s">
        <v>904</v>
      </c>
      <c r="Q31" t="s">
        <v>513</v>
      </c>
    </row>
    <row r="32" spans="3:17" ht="3.6" customHeight="1" x14ac:dyDescent="0.2">
      <c r="H32" s="15"/>
      <c r="I32" s="16"/>
      <c r="J32" s="15"/>
      <c r="K32" s="17"/>
      <c r="L32" s="15"/>
      <c r="M32" s="15"/>
      <c r="N32" s="17"/>
      <c r="O32" s="20"/>
    </row>
    <row r="33" spans="3:17" x14ac:dyDescent="0.2">
      <c r="C33" s="1" t="s">
        <v>94</v>
      </c>
      <c r="D33" t="s">
        <v>323</v>
      </c>
      <c r="E33" t="s">
        <v>325</v>
      </c>
      <c r="F33" s="1" t="s">
        <v>328</v>
      </c>
      <c r="H33" s="12" t="s">
        <v>167</v>
      </c>
      <c r="I33" s="11" t="s">
        <v>1109</v>
      </c>
      <c r="J33" s="12" t="s">
        <v>52</v>
      </c>
      <c r="K33" s="13">
        <v>5.5</v>
      </c>
      <c r="L33" s="13">
        <v>14.4</v>
      </c>
      <c r="M33" s="12">
        <v>43</v>
      </c>
      <c r="N33" s="13">
        <v>26</v>
      </c>
      <c r="O33" s="19">
        <v>19.170000000000002</v>
      </c>
      <c r="Q33" t="s">
        <v>514</v>
      </c>
    </row>
    <row r="34" spans="3:17" x14ac:dyDescent="0.2">
      <c r="C34" s="1" t="s">
        <v>95</v>
      </c>
      <c r="D34" t="s">
        <v>324</v>
      </c>
      <c r="E34" t="s">
        <v>326</v>
      </c>
      <c r="F34" s="1" t="s">
        <v>358</v>
      </c>
      <c r="H34" s="12" t="s">
        <v>25</v>
      </c>
      <c r="I34" s="11" t="s">
        <v>1110</v>
      </c>
      <c r="J34" s="12" t="s">
        <v>52</v>
      </c>
      <c r="K34" s="13">
        <v>5.7</v>
      </c>
      <c r="L34" s="13">
        <v>22</v>
      </c>
      <c r="M34" s="12">
        <v>61</v>
      </c>
      <c r="N34" s="13">
        <v>26</v>
      </c>
      <c r="O34" s="19">
        <v>26.02</v>
      </c>
      <c r="Q34" t="s">
        <v>515</v>
      </c>
    </row>
    <row r="35" spans="3:17" x14ac:dyDescent="0.2">
      <c r="C35" s="1" t="s">
        <v>96</v>
      </c>
      <c r="D35" t="s">
        <v>324</v>
      </c>
      <c r="E35" t="s">
        <v>326</v>
      </c>
      <c r="F35" s="1" t="s">
        <v>359</v>
      </c>
      <c r="H35" s="12" t="s">
        <v>26</v>
      </c>
      <c r="I35" s="11" t="s">
        <v>1111</v>
      </c>
      <c r="J35" s="12" t="s">
        <v>52</v>
      </c>
      <c r="K35" s="13">
        <v>6.2</v>
      </c>
      <c r="L35" s="13">
        <v>28.8</v>
      </c>
      <c r="M35" s="12">
        <v>75</v>
      </c>
      <c r="N35" s="13">
        <v>26</v>
      </c>
      <c r="O35" s="19">
        <v>34.270000000000003</v>
      </c>
      <c r="Q35" t="s">
        <v>516</v>
      </c>
    </row>
    <row r="36" spans="3:17" x14ac:dyDescent="0.2">
      <c r="C36" s="1" t="s">
        <v>97</v>
      </c>
      <c r="D36" t="s">
        <v>324</v>
      </c>
      <c r="E36" t="s">
        <v>326</v>
      </c>
      <c r="F36" s="1" t="s">
        <v>360</v>
      </c>
      <c r="H36" s="12" t="s">
        <v>27</v>
      </c>
      <c r="I36" s="11" t="s">
        <v>1112</v>
      </c>
      <c r="J36" s="12" t="s">
        <v>52</v>
      </c>
      <c r="K36" s="13">
        <v>6.9</v>
      </c>
      <c r="L36" s="13">
        <v>36</v>
      </c>
      <c r="M36" s="12">
        <v>100</v>
      </c>
      <c r="N36" s="13">
        <v>26</v>
      </c>
      <c r="O36" s="19">
        <v>42.5</v>
      </c>
      <c r="Q36" t="s">
        <v>517</v>
      </c>
    </row>
    <row r="37" spans="3:17" x14ac:dyDescent="0.2">
      <c r="C37" s="1" t="s">
        <v>98</v>
      </c>
      <c r="D37" t="s">
        <v>324</v>
      </c>
      <c r="E37" t="s">
        <v>326</v>
      </c>
      <c r="F37" s="1" t="s">
        <v>361</v>
      </c>
      <c r="H37" s="12" t="s">
        <v>28</v>
      </c>
      <c r="I37" s="11" t="s">
        <v>1113</v>
      </c>
      <c r="J37" s="12" t="s">
        <v>52</v>
      </c>
      <c r="K37" s="13">
        <v>7.6</v>
      </c>
      <c r="L37" s="13">
        <v>43.2</v>
      </c>
      <c r="M37" s="12">
        <v>115</v>
      </c>
      <c r="N37" s="13">
        <v>26</v>
      </c>
      <c r="O37" s="19">
        <v>54.1</v>
      </c>
      <c r="Q37" t="s">
        <v>518</v>
      </c>
    </row>
    <row r="38" spans="3:17" x14ac:dyDescent="0.2">
      <c r="C38" s="1" t="s">
        <v>99</v>
      </c>
      <c r="D38" t="s">
        <v>324</v>
      </c>
      <c r="E38" t="s">
        <v>326</v>
      </c>
      <c r="F38" s="1" t="s">
        <v>362</v>
      </c>
      <c r="H38" s="12" t="s">
        <v>29</v>
      </c>
      <c r="I38" s="11" t="s">
        <v>1114</v>
      </c>
      <c r="J38" s="12" t="s">
        <v>52</v>
      </c>
      <c r="K38" s="13">
        <v>7.6</v>
      </c>
      <c r="L38" s="13">
        <v>50</v>
      </c>
      <c r="M38" s="12">
        <v>125</v>
      </c>
      <c r="N38" s="13">
        <v>26</v>
      </c>
      <c r="O38" s="19">
        <v>60.19</v>
      </c>
      <c r="Q38" t="s">
        <v>519</v>
      </c>
    </row>
    <row r="39" spans="3:17" x14ac:dyDescent="0.2">
      <c r="C39" s="1" t="s">
        <v>100</v>
      </c>
      <c r="D39" t="s">
        <v>324</v>
      </c>
      <c r="E39" t="s">
        <v>326</v>
      </c>
      <c r="F39" s="1" t="s">
        <v>363</v>
      </c>
      <c r="H39" s="12" t="s">
        <v>30</v>
      </c>
      <c r="I39" s="11" t="s">
        <v>1115</v>
      </c>
      <c r="J39" s="12" t="s">
        <v>52</v>
      </c>
      <c r="K39" s="13">
        <v>8.9</v>
      </c>
      <c r="L39" s="13">
        <v>58</v>
      </c>
      <c r="M39" s="12">
        <v>140</v>
      </c>
      <c r="N39" s="13">
        <v>26</v>
      </c>
      <c r="O39" s="19">
        <v>70.430000000000007</v>
      </c>
      <c r="Q39" t="s">
        <v>520</v>
      </c>
    </row>
    <row r="40" spans="3:17" x14ac:dyDescent="0.2">
      <c r="C40" s="1" t="s">
        <v>101</v>
      </c>
      <c r="D40" t="s">
        <v>324</v>
      </c>
      <c r="E40" t="s">
        <v>326</v>
      </c>
      <c r="F40" s="1" t="s">
        <v>364</v>
      </c>
      <c r="H40" s="12" t="s">
        <v>31</v>
      </c>
      <c r="I40" s="11" t="s">
        <v>1116</v>
      </c>
      <c r="J40" s="12" t="s">
        <v>52</v>
      </c>
      <c r="K40" s="13">
        <v>9.6</v>
      </c>
      <c r="L40" s="13">
        <v>65</v>
      </c>
      <c r="M40" s="12">
        <v>150</v>
      </c>
      <c r="N40" s="13">
        <v>26</v>
      </c>
      <c r="O40" s="19">
        <v>80</v>
      </c>
      <c r="Q40" t="s">
        <v>521</v>
      </c>
    </row>
    <row r="41" spans="3:17" x14ac:dyDescent="0.2">
      <c r="C41" s="1" t="s">
        <v>102</v>
      </c>
      <c r="D41" t="s">
        <v>324</v>
      </c>
      <c r="E41" t="s">
        <v>326</v>
      </c>
      <c r="F41" s="1" t="s">
        <v>365</v>
      </c>
      <c r="H41" s="12" t="s">
        <v>32</v>
      </c>
      <c r="I41" s="11" t="s">
        <v>1117</v>
      </c>
      <c r="J41" s="12" t="s">
        <v>52</v>
      </c>
      <c r="K41" s="13">
        <v>9.9</v>
      </c>
      <c r="L41" s="13">
        <v>72</v>
      </c>
      <c r="M41" s="12">
        <v>170</v>
      </c>
      <c r="N41" s="13">
        <v>26</v>
      </c>
      <c r="O41" s="19">
        <v>89.5</v>
      </c>
      <c r="Q41" t="s">
        <v>522</v>
      </c>
    </row>
    <row r="42" spans="3:17" x14ac:dyDescent="0.2">
      <c r="C42" s="1" t="s">
        <v>103</v>
      </c>
      <c r="D42" t="s">
        <v>324</v>
      </c>
      <c r="E42" t="s">
        <v>326</v>
      </c>
      <c r="F42" s="1" t="s">
        <v>366</v>
      </c>
      <c r="H42" s="12" t="s">
        <v>33</v>
      </c>
      <c r="I42" s="11" t="s">
        <v>1118</v>
      </c>
      <c r="J42" s="12" t="s">
        <v>52</v>
      </c>
      <c r="K42" s="13">
        <v>10.199999999999999</v>
      </c>
      <c r="L42" s="13">
        <v>86</v>
      </c>
      <c r="M42" s="12">
        <v>210</v>
      </c>
      <c r="N42" s="13">
        <v>26</v>
      </c>
      <c r="O42" s="19">
        <v>103.36</v>
      </c>
      <c r="Q42" t="s">
        <v>523</v>
      </c>
    </row>
    <row r="43" spans="3:17" x14ac:dyDescent="0.2">
      <c r="C43" s="1" t="s">
        <v>149</v>
      </c>
      <c r="D43" t="s">
        <v>324</v>
      </c>
      <c r="E43" t="s">
        <v>326</v>
      </c>
      <c r="F43" s="1" t="s">
        <v>367</v>
      </c>
      <c r="H43" s="12" t="s">
        <v>34</v>
      </c>
      <c r="I43" s="11" t="s">
        <v>1119</v>
      </c>
      <c r="J43" s="12" t="s">
        <v>52</v>
      </c>
      <c r="K43" s="13">
        <v>10.9</v>
      </c>
      <c r="L43" s="12">
        <v>101</v>
      </c>
      <c r="M43" s="12">
        <v>225</v>
      </c>
      <c r="N43" s="13">
        <v>26</v>
      </c>
      <c r="O43" s="19">
        <v>119.77</v>
      </c>
      <c r="Q43" t="s">
        <v>524</v>
      </c>
    </row>
    <row r="44" spans="3:17" x14ac:dyDescent="0.2">
      <c r="C44" s="1" t="s">
        <v>150</v>
      </c>
      <c r="D44" t="s">
        <v>324</v>
      </c>
      <c r="E44" t="s">
        <v>326</v>
      </c>
      <c r="F44" s="1" t="s">
        <v>368</v>
      </c>
      <c r="H44" s="12" t="s">
        <v>168</v>
      </c>
      <c r="I44" s="11" t="s">
        <v>1120</v>
      </c>
      <c r="J44" s="12" t="s">
        <v>52</v>
      </c>
      <c r="K44" s="13">
        <v>11.2</v>
      </c>
      <c r="L44" s="12">
        <v>115</v>
      </c>
      <c r="M44" s="12">
        <v>240</v>
      </c>
      <c r="N44" s="13">
        <v>26</v>
      </c>
      <c r="O44" s="19">
        <v>138.82</v>
      </c>
      <c r="Q44" t="s">
        <v>525</v>
      </c>
    </row>
    <row r="45" spans="3:17" x14ac:dyDescent="0.2">
      <c r="C45" s="1" t="s">
        <v>151</v>
      </c>
      <c r="D45" t="s">
        <v>324</v>
      </c>
      <c r="E45" t="s">
        <v>326</v>
      </c>
      <c r="F45" s="1" t="s">
        <v>369</v>
      </c>
      <c r="H45" s="12" t="s">
        <v>35</v>
      </c>
      <c r="I45" s="11" t="s">
        <v>1121</v>
      </c>
      <c r="J45" s="12" t="s">
        <v>52</v>
      </c>
      <c r="K45" s="13">
        <v>12.1</v>
      </c>
      <c r="L45" s="12">
        <v>130</v>
      </c>
      <c r="M45" s="12">
        <v>280</v>
      </c>
      <c r="N45" s="13">
        <v>26</v>
      </c>
      <c r="O45" s="19">
        <v>154.11000000000001</v>
      </c>
      <c r="Q45" t="s">
        <v>526</v>
      </c>
    </row>
    <row r="46" spans="3:17" x14ac:dyDescent="0.2">
      <c r="C46" s="1" t="s">
        <v>152</v>
      </c>
      <c r="D46" t="s">
        <v>324</v>
      </c>
      <c r="E46" t="s">
        <v>326</v>
      </c>
      <c r="F46" s="1" t="s">
        <v>370</v>
      </c>
      <c r="H46" s="12" t="s">
        <v>36</v>
      </c>
      <c r="I46" s="11" t="s">
        <v>1122</v>
      </c>
      <c r="J46" s="12" t="s">
        <v>52</v>
      </c>
      <c r="K46" s="13">
        <v>13</v>
      </c>
      <c r="L46" s="12">
        <v>144</v>
      </c>
      <c r="M46" s="12">
        <v>310</v>
      </c>
      <c r="N46" s="13">
        <v>26</v>
      </c>
      <c r="O46" s="19">
        <f>O47*20/21</f>
        <v>179.53333333333333</v>
      </c>
      <c r="Q46" t="s">
        <v>527</v>
      </c>
    </row>
    <row r="47" spans="3:17" x14ac:dyDescent="0.2">
      <c r="C47" s="1" t="s">
        <v>153</v>
      </c>
      <c r="D47" t="s">
        <v>324</v>
      </c>
      <c r="E47" t="s">
        <v>326</v>
      </c>
      <c r="F47" s="1" t="s">
        <v>371</v>
      </c>
      <c r="H47" s="12" t="s">
        <v>37</v>
      </c>
      <c r="I47" s="11" t="s">
        <v>1123</v>
      </c>
      <c r="J47" s="12" t="s">
        <v>52</v>
      </c>
      <c r="K47" s="13">
        <v>13.4</v>
      </c>
      <c r="L47" s="12">
        <v>151</v>
      </c>
      <c r="M47" s="12">
        <v>325</v>
      </c>
      <c r="N47" s="13">
        <v>26</v>
      </c>
      <c r="O47" s="19">
        <v>188.51</v>
      </c>
      <c r="Q47" t="s">
        <v>528</v>
      </c>
    </row>
    <row r="48" spans="3:17" x14ac:dyDescent="0.2">
      <c r="C48" s="1" t="s">
        <v>154</v>
      </c>
      <c r="D48" t="s">
        <v>324</v>
      </c>
      <c r="E48" t="s">
        <v>326</v>
      </c>
      <c r="F48" s="1" t="s">
        <v>372</v>
      </c>
      <c r="H48" s="12" t="s">
        <v>38</v>
      </c>
      <c r="I48" s="11" t="s">
        <v>1124</v>
      </c>
      <c r="J48" s="12" t="s">
        <v>52</v>
      </c>
      <c r="K48" s="13">
        <v>14.2</v>
      </c>
      <c r="L48" s="12">
        <v>180</v>
      </c>
      <c r="M48" s="12">
        <v>370</v>
      </c>
      <c r="N48" s="13">
        <v>26</v>
      </c>
      <c r="O48" s="19">
        <v>207.2</v>
      </c>
      <c r="Q48" t="s">
        <v>529</v>
      </c>
    </row>
    <row r="49" spans="3:17" x14ac:dyDescent="0.2">
      <c r="C49" s="1" t="s">
        <v>155</v>
      </c>
      <c r="D49" t="s">
        <v>324</v>
      </c>
      <c r="E49" t="s">
        <v>326</v>
      </c>
      <c r="F49" s="1" t="s">
        <v>373</v>
      </c>
      <c r="H49" s="12" t="s">
        <v>39</v>
      </c>
      <c r="I49" s="11" t="s">
        <v>1125</v>
      </c>
      <c r="J49" s="12" t="s">
        <v>52</v>
      </c>
      <c r="K49" s="13">
        <v>15.1</v>
      </c>
      <c r="L49" s="12">
        <v>216</v>
      </c>
      <c r="M49" s="12">
        <v>440</v>
      </c>
      <c r="N49" s="13">
        <v>26</v>
      </c>
      <c r="O49" s="19">
        <v>258.74</v>
      </c>
      <c r="Q49" t="s">
        <v>530</v>
      </c>
    </row>
    <row r="50" spans="3:17" x14ac:dyDescent="0.2">
      <c r="C50" s="1" t="s">
        <v>156</v>
      </c>
      <c r="D50" t="s">
        <v>324</v>
      </c>
      <c r="E50" t="s">
        <v>326</v>
      </c>
      <c r="F50" s="1" t="s">
        <v>374</v>
      </c>
      <c r="H50" s="12" t="s">
        <v>40</v>
      </c>
      <c r="I50" s="11" t="s">
        <v>1126</v>
      </c>
      <c r="J50" s="12" t="s">
        <v>52</v>
      </c>
      <c r="K50" s="13">
        <v>16.100000000000001</v>
      </c>
      <c r="L50" s="12">
        <v>223</v>
      </c>
      <c r="M50" s="12">
        <v>455</v>
      </c>
      <c r="N50" s="13">
        <v>26</v>
      </c>
      <c r="O50" s="19">
        <v>262</v>
      </c>
      <c r="Q50" t="s">
        <v>531</v>
      </c>
    </row>
    <row r="51" spans="3:17" x14ac:dyDescent="0.2">
      <c r="C51" s="1" t="s">
        <v>157</v>
      </c>
      <c r="D51" t="s">
        <v>324</v>
      </c>
      <c r="E51" t="s">
        <v>326</v>
      </c>
      <c r="F51" s="1" t="s">
        <v>375</v>
      </c>
      <c r="H51" s="12" t="s">
        <v>41</v>
      </c>
      <c r="I51" s="11" t="s">
        <v>1127</v>
      </c>
      <c r="J51" s="12" t="s">
        <v>52</v>
      </c>
      <c r="K51" s="13">
        <v>16.2</v>
      </c>
      <c r="L51" s="12">
        <v>230</v>
      </c>
      <c r="M51" s="12">
        <v>460</v>
      </c>
      <c r="N51" s="13">
        <v>26</v>
      </c>
      <c r="O51" s="19">
        <v>264.17</v>
      </c>
      <c r="Q51" t="s">
        <v>532</v>
      </c>
    </row>
    <row r="52" spans="3:17" x14ac:dyDescent="0.2">
      <c r="C52" s="1" t="s">
        <v>158</v>
      </c>
      <c r="D52" t="s">
        <v>324</v>
      </c>
      <c r="E52" t="s">
        <v>326</v>
      </c>
      <c r="F52" s="1" t="s">
        <v>376</v>
      </c>
      <c r="H52" s="12" t="s">
        <v>42</v>
      </c>
      <c r="I52" s="11" t="s">
        <v>1128</v>
      </c>
      <c r="J52" s="12" t="s">
        <v>52</v>
      </c>
      <c r="K52" s="13">
        <v>16.3</v>
      </c>
      <c r="L52" s="12">
        <v>245</v>
      </c>
      <c r="M52" s="12">
        <v>500</v>
      </c>
      <c r="N52" s="13">
        <v>26</v>
      </c>
      <c r="O52" s="19">
        <v>309.20999999999998</v>
      </c>
      <c r="Q52" t="s">
        <v>533</v>
      </c>
    </row>
    <row r="53" spans="3:17" x14ac:dyDescent="0.2">
      <c r="C53" s="1" t="s">
        <v>159</v>
      </c>
      <c r="D53" t="s">
        <v>324</v>
      </c>
      <c r="E53" t="s">
        <v>326</v>
      </c>
      <c r="F53" s="1" t="s">
        <v>377</v>
      </c>
      <c r="H53" s="12" t="s">
        <v>43</v>
      </c>
      <c r="I53" s="11" t="s">
        <v>1129</v>
      </c>
      <c r="J53" s="12" t="s">
        <v>52</v>
      </c>
      <c r="K53" s="13">
        <v>16.5</v>
      </c>
      <c r="L53" s="12">
        <v>260</v>
      </c>
      <c r="M53" s="12">
        <v>535</v>
      </c>
      <c r="N53" s="13">
        <v>26</v>
      </c>
      <c r="O53" s="19">
        <v>347</v>
      </c>
      <c r="Q53" t="s">
        <v>534</v>
      </c>
    </row>
    <row r="54" spans="3:17" x14ac:dyDescent="0.2">
      <c r="C54" s="1" t="s">
        <v>160</v>
      </c>
      <c r="D54" t="s">
        <v>324</v>
      </c>
      <c r="E54" t="s">
        <v>326</v>
      </c>
      <c r="F54" s="1" t="s">
        <v>378</v>
      </c>
      <c r="H54" s="12" t="s">
        <v>44</v>
      </c>
      <c r="I54" s="11" t="s">
        <v>1130</v>
      </c>
      <c r="J54" s="12" t="s">
        <v>52</v>
      </c>
      <c r="K54" s="13">
        <v>17.5</v>
      </c>
      <c r="L54" s="12">
        <v>288</v>
      </c>
      <c r="M54" s="12">
        <v>570</v>
      </c>
      <c r="N54" s="13">
        <v>26</v>
      </c>
      <c r="O54" s="19">
        <f>O56/42*40</f>
        <v>383.7619047619047</v>
      </c>
      <c r="Q54" t="s">
        <v>535</v>
      </c>
    </row>
    <row r="55" spans="3:17" x14ac:dyDescent="0.2">
      <c r="C55" s="1" t="s">
        <v>161</v>
      </c>
      <c r="D55" t="s">
        <v>324</v>
      </c>
      <c r="E55" t="s">
        <v>326</v>
      </c>
      <c r="F55" s="1" t="s">
        <v>379</v>
      </c>
      <c r="H55" s="12" t="s">
        <v>45</v>
      </c>
      <c r="I55" s="11" t="s">
        <v>1131</v>
      </c>
      <c r="J55" s="12" t="s">
        <v>52</v>
      </c>
      <c r="K55" s="13">
        <v>17.7</v>
      </c>
      <c r="L55" s="12">
        <v>296</v>
      </c>
      <c r="M55" s="12">
        <v>580</v>
      </c>
      <c r="N55" s="13">
        <v>26</v>
      </c>
      <c r="O55" s="19">
        <f>O56/42*41</f>
        <v>393.35595238095237</v>
      </c>
      <c r="Q55" t="s">
        <v>536</v>
      </c>
    </row>
    <row r="56" spans="3:17" x14ac:dyDescent="0.2">
      <c r="C56" s="1" t="s">
        <v>162</v>
      </c>
      <c r="D56" t="s">
        <v>324</v>
      </c>
      <c r="E56" t="s">
        <v>326</v>
      </c>
      <c r="F56" s="1" t="s">
        <v>380</v>
      </c>
      <c r="H56" s="12" t="s">
        <v>46</v>
      </c>
      <c r="I56" s="11" t="s">
        <v>1132</v>
      </c>
      <c r="J56" s="12" t="s">
        <v>52</v>
      </c>
      <c r="K56" s="13">
        <v>17.8</v>
      </c>
      <c r="L56" s="12">
        <v>302</v>
      </c>
      <c r="M56" s="12">
        <v>590</v>
      </c>
      <c r="N56" s="13">
        <v>26</v>
      </c>
      <c r="O56" s="19">
        <v>402.95</v>
      </c>
      <c r="Q56" t="s">
        <v>537</v>
      </c>
    </row>
    <row r="57" spans="3:17" x14ac:dyDescent="0.2">
      <c r="C57" s="1" t="s">
        <v>163</v>
      </c>
      <c r="D57" t="s">
        <v>324</v>
      </c>
      <c r="E57" t="s">
        <v>326</v>
      </c>
      <c r="F57" s="1" t="s">
        <v>381</v>
      </c>
      <c r="H57" s="12" t="s">
        <v>47</v>
      </c>
      <c r="I57" s="11" t="s">
        <v>1133</v>
      </c>
      <c r="J57" s="12" t="s">
        <v>52</v>
      </c>
      <c r="K57" s="13">
        <v>19.5</v>
      </c>
      <c r="L57" s="12">
        <v>360</v>
      </c>
      <c r="M57" s="12">
        <v>640</v>
      </c>
      <c r="N57" s="13">
        <v>26</v>
      </c>
      <c r="O57" s="19">
        <v>541.88</v>
      </c>
      <c r="Q57" t="s">
        <v>538</v>
      </c>
    </row>
    <row r="58" spans="3:17" x14ac:dyDescent="0.2">
      <c r="C58" s="1" t="s">
        <v>173</v>
      </c>
      <c r="D58" t="s">
        <v>324</v>
      </c>
      <c r="E58" t="s">
        <v>326</v>
      </c>
      <c r="F58" s="1" t="s">
        <v>382</v>
      </c>
      <c r="H58" s="12" t="s">
        <v>48</v>
      </c>
      <c r="I58" s="11" t="s">
        <v>1134</v>
      </c>
      <c r="J58" s="12" t="s">
        <v>52</v>
      </c>
      <c r="K58" s="13">
        <v>20.8</v>
      </c>
      <c r="L58" s="12">
        <v>439</v>
      </c>
      <c r="M58" s="12">
        <v>775</v>
      </c>
      <c r="N58" s="13">
        <v>26</v>
      </c>
      <c r="O58" s="19">
        <v>665.89</v>
      </c>
      <c r="Q58" t="s">
        <v>539</v>
      </c>
    </row>
    <row r="59" spans="3:17" x14ac:dyDescent="0.2">
      <c r="C59" s="1" t="s">
        <v>174</v>
      </c>
      <c r="D59" t="s">
        <v>324</v>
      </c>
      <c r="E59" t="s">
        <v>326</v>
      </c>
      <c r="F59" s="1" t="s">
        <v>383</v>
      </c>
      <c r="H59" s="12" t="s">
        <v>49</v>
      </c>
      <c r="I59" s="11" t="s">
        <v>1135</v>
      </c>
      <c r="J59" s="12" t="s">
        <v>52</v>
      </c>
      <c r="K59" s="13">
        <v>21.9</v>
      </c>
      <c r="L59" s="12">
        <v>468</v>
      </c>
      <c r="M59" s="12">
        <v>895</v>
      </c>
      <c r="N59" s="13">
        <v>26</v>
      </c>
      <c r="O59" s="19" t="s">
        <v>904</v>
      </c>
      <c r="Q59" t="s">
        <v>540</v>
      </c>
    </row>
    <row r="60" spans="3:17" x14ac:dyDescent="0.2">
      <c r="C60" s="1" t="s">
        <v>175</v>
      </c>
      <c r="D60" t="s">
        <v>324</v>
      </c>
      <c r="E60" t="s">
        <v>326</v>
      </c>
      <c r="F60" s="1" t="s">
        <v>384</v>
      </c>
      <c r="H60" s="12" t="s">
        <v>50</v>
      </c>
      <c r="I60" s="11" t="s">
        <v>1136</v>
      </c>
      <c r="J60" s="12" t="s">
        <v>52</v>
      </c>
      <c r="K60" s="13">
        <v>24</v>
      </c>
      <c r="L60" s="12">
        <v>576</v>
      </c>
      <c r="M60" s="12">
        <v>1155</v>
      </c>
      <c r="N60" s="13">
        <v>26</v>
      </c>
      <c r="O60" s="19" t="s">
        <v>904</v>
      </c>
      <c r="Q60" t="s">
        <v>541</v>
      </c>
    </row>
    <row r="61" spans="3:17" x14ac:dyDescent="0.2">
      <c r="C61" s="1" t="s">
        <v>176</v>
      </c>
      <c r="D61" t="s">
        <v>324</v>
      </c>
      <c r="E61" t="s">
        <v>326</v>
      </c>
      <c r="F61" s="1" t="s">
        <v>385</v>
      </c>
      <c r="H61" s="12" t="s">
        <v>51</v>
      </c>
      <c r="I61" s="11" t="s">
        <v>1137</v>
      </c>
      <c r="J61" s="12" t="s">
        <v>52</v>
      </c>
      <c r="K61" s="13">
        <v>26.4</v>
      </c>
      <c r="L61" s="12">
        <v>720</v>
      </c>
      <c r="M61" s="12">
        <v>1310</v>
      </c>
      <c r="N61" s="13">
        <v>26</v>
      </c>
      <c r="O61" s="19" t="s">
        <v>904</v>
      </c>
      <c r="Q61" t="s">
        <v>542</v>
      </c>
    </row>
    <row r="62" spans="3:17" ht="3.6" customHeight="1" x14ac:dyDescent="0.2">
      <c r="H62" s="15"/>
      <c r="I62" s="16"/>
      <c r="J62" s="15"/>
      <c r="K62" s="17"/>
      <c r="L62" s="15"/>
      <c r="M62" s="15"/>
      <c r="N62" s="15"/>
      <c r="O62" s="20"/>
    </row>
    <row r="63" spans="3:17" x14ac:dyDescent="0.2">
      <c r="C63" s="1" t="s">
        <v>104</v>
      </c>
      <c r="D63" t="s">
        <v>323</v>
      </c>
      <c r="E63" t="s">
        <v>325</v>
      </c>
      <c r="F63" s="1" t="s">
        <v>329</v>
      </c>
      <c r="H63" s="12" t="s">
        <v>204</v>
      </c>
      <c r="I63" s="11" t="s">
        <v>1138</v>
      </c>
      <c r="J63" s="12" t="s">
        <v>84</v>
      </c>
      <c r="K63" s="13">
        <v>5.8</v>
      </c>
      <c r="L63" s="12">
        <v>19.2</v>
      </c>
      <c r="M63" s="12">
        <v>57</v>
      </c>
      <c r="N63" s="12">
        <v>19.5</v>
      </c>
      <c r="O63" s="19">
        <v>23.52</v>
      </c>
      <c r="Q63" t="s">
        <v>543</v>
      </c>
    </row>
    <row r="64" spans="3:17" x14ac:dyDescent="0.2">
      <c r="C64" s="1" t="s">
        <v>105</v>
      </c>
      <c r="D64" t="s">
        <v>324</v>
      </c>
      <c r="E64" t="s">
        <v>326</v>
      </c>
      <c r="F64" s="1" t="s">
        <v>386</v>
      </c>
      <c r="H64" s="12" t="s">
        <v>53</v>
      </c>
      <c r="I64" s="11" t="s">
        <v>1139</v>
      </c>
      <c r="J64" s="12" t="s">
        <v>84</v>
      </c>
      <c r="K64" s="13">
        <v>6.3</v>
      </c>
      <c r="L64" s="12">
        <v>28.8</v>
      </c>
      <c r="M64" s="12">
        <v>80</v>
      </c>
      <c r="N64" s="12">
        <v>19.5</v>
      </c>
      <c r="O64" s="19">
        <v>32.06</v>
      </c>
      <c r="Q64" t="s">
        <v>544</v>
      </c>
    </row>
    <row r="65" spans="3:17" x14ac:dyDescent="0.2">
      <c r="C65" s="1" t="s">
        <v>106</v>
      </c>
      <c r="D65" t="s">
        <v>324</v>
      </c>
      <c r="E65" t="s">
        <v>326</v>
      </c>
      <c r="F65" s="1" t="s">
        <v>387</v>
      </c>
      <c r="H65" s="12" t="s">
        <v>54</v>
      </c>
      <c r="I65" s="11" t="s">
        <v>1140</v>
      </c>
      <c r="J65" s="12" t="s">
        <v>84</v>
      </c>
      <c r="K65" s="13">
        <v>6.7</v>
      </c>
      <c r="L65" s="12">
        <v>38.4</v>
      </c>
      <c r="M65" s="12">
        <v>105</v>
      </c>
      <c r="N65" s="12">
        <v>19.5</v>
      </c>
      <c r="O65" s="19">
        <v>43.32</v>
      </c>
      <c r="Q65" t="s">
        <v>545</v>
      </c>
    </row>
    <row r="66" spans="3:17" x14ac:dyDescent="0.2">
      <c r="C66" s="1" t="s">
        <v>107</v>
      </c>
      <c r="D66" t="s">
        <v>324</v>
      </c>
      <c r="E66" t="s">
        <v>326</v>
      </c>
      <c r="F66" s="1" t="s">
        <v>388</v>
      </c>
      <c r="H66" s="12" t="s">
        <v>55</v>
      </c>
      <c r="I66" s="11" t="s">
        <v>1141</v>
      </c>
      <c r="J66" s="12" t="s">
        <v>84</v>
      </c>
      <c r="K66" s="13">
        <v>7.3</v>
      </c>
      <c r="L66" s="13">
        <v>48</v>
      </c>
      <c r="M66" s="12">
        <v>125</v>
      </c>
      <c r="N66" s="12">
        <v>19.5</v>
      </c>
      <c r="O66" s="19">
        <v>53.51</v>
      </c>
      <c r="Q66" t="s">
        <v>546</v>
      </c>
    </row>
    <row r="67" spans="3:17" x14ac:dyDescent="0.2">
      <c r="C67" s="1" t="s">
        <v>108</v>
      </c>
      <c r="D67" t="s">
        <v>324</v>
      </c>
      <c r="E67" t="s">
        <v>326</v>
      </c>
      <c r="F67" s="1" t="s">
        <v>389</v>
      </c>
      <c r="H67" s="12" t="s">
        <v>56</v>
      </c>
      <c r="I67" s="11" t="s">
        <v>1142</v>
      </c>
      <c r="J67" s="12" t="s">
        <v>84</v>
      </c>
      <c r="K67" s="13">
        <v>8.1</v>
      </c>
      <c r="L67" s="13">
        <v>57.6</v>
      </c>
      <c r="M67" s="12">
        <v>135</v>
      </c>
      <c r="N67" s="12">
        <v>19.5</v>
      </c>
      <c r="O67" s="19">
        <v>68</v>
      </c>
      <c r="Q67" t="s">
        <v>547</v>
      </c>
    </row>
    <row r="68" spans="3:17" x14ac:dyDescent="0.2">
      <c r="C68" s="1" t="s">
        <v>109</v>
      </c>
      <c r="D68" t="s">
        <v>324</v>
      </c>
      <c r="E68" t="s">
        <v>326</v>
      </c>
      <c r="F68" s="1" t="s">
        <v>390</v>
      </c>
      <c r="H68" s="12" t="s">
        <v>57</v>
      </c>
      <c r="I68" s="11" t="s">
        <v>1143</v>
      </c>
      <c r="J68" s="12" t="s">
        <v>84</v>
      </c>
      <c r="K68" s="13">
        <v>8.3000000000000007</v>
      </c>
      <c r="L68" s="13">
        <v>67</v>
      </c>
      <c r="M68" s="12">
        <v>150</v>
      </c>
      <c r="N68" s="12">
        <v>19.5</v>
      </c>
      <c r="O68" s="19">
        <v>77.34</v>
      </c>
      <c r="Q68" t="s">
        <v>548</v>
      </c>
    </row>
    <row r="69" spans="3:17" x14ac:dyDescent="0.2">
      <c r="C69" s="1" t="s">
        <v>110</v>
      </c>
      <c r="D69" t="s">
        <v>324</v>
      </c>
      <c r="E69" t="s">
        <v>326</v>
      </c>
      <c r="F69" s="1" t="s">
        <v>391</v>
      </c>
      <c r="H69" s="12" t="s">
        <v>58</v>
      </c>
      <c r="I69" s="11" t="s">
        <v>1144</v>
      </c>
      <c r="J69" s="12" t="s">
        <v>84</v>
      </c>
      <c r="K69" s="13">
        <v>9.5</v>
      </c>
      <c r="L69" s="13">
        <v>77</v>
      </c>
      <c r="M69" s="12">
        <v>175</v>
      </c>
      <c r="N69" s="12">
        <v>19.5</v>
      </c>
      <c r="O69" s="19">
        <v>88.97</v>
      </c>
      <c r="Q69" t="s">
        <v>549</v>
      </c>
    </row>
    <row r="70" spans="3:17" x14ac:dyDescent="0.2">
      <c r="C70" s="1" t="s">
        <v>111</v>
      </c>
      <c r="D70" t="s">
        <v>324</v>
      </c>
      <c r="E70" t="s">
        <v>326</v>
      </c>
      <c r="F70" s="1" t="s">
        <v>392</v>
      </c>
      <c r="H70" s="12" t="s">
        <v>59</v>
      </c>
      <c r="I70" s="11" t="s">
        <v>1145</v>
      </c>
      <c r="J70" s="12" t="s">
        <v>84</v>
      </c>
      <c r="K70" s="13">
        <v>10.3</v>
      </c>
      <c r="L70" s="13">
        <v>86.4</v>
      </c>
      <c r="M70" s="12">
        <v>200</v>
      </c>
      <c r="N70" s="12">
        <v>19.5</v>
      </c>
      <c r="O70" s="19">
        <v>100</v>
      </c>
      <c r="Q70" t="s">
        <v>550</v>
      </c>
    </row>
    <row r="71" spans="3:17" x14ac:dyDescent="0.2">
      <c r="C71" s="1" t="s">
        <v>112</v>
      </c>
      <c r="D71" t="s">
        <v>324</v>
      </c>
      <c r="E71" t="s">
        <v>326</v>
      </c>
      <c r="F71" s="1" t="s">
        <v>393</v>
      </c>
      <c r="H71" s="12" t="s">
        <v>60</v>
      </c>
      <c r="I71" s="11" t="s">
        <v>1146</v>
      </c>
      <c r="J71" s="12" t="s">
        <v>84</v>
      </c>
      <c r="K71" s="13">
        <v>10.5</v>
      </c>
      <c r="L71" s="13">
        <v>96</v>
      </c>
      <c r="M71" s="12">
        <v>220</v>
      </c>
      <c r="N71" s="12">
        <v>19.5</v>
      </c>
      <c r="O71" s="19">
        <v>110.81</v>
      </c>
      <c r="Q71" t="s">
        <v>551</v>
      </c>
    </row>
    <row r="72" spans="3:17" x14ac:dyDescent="0.2">
      <c r="C72" s="1" t="s">
        <v>113</v>
      </c>
      <c r="D72" t="s">
        <v>324</v>
      </c>
      <c r="E72" t="s">
        <v>326</v>
      </c>
      <c r="F72" s="1" t="s">
        <v>394</v>
      </c>
      <c r="H72" s="12" t="s">
        <v>61</v>
      </c>
      <c r="I72" s="11" t="s">
        <v>1147</v>
      </c>
      <c r="J72" s="12" t="s">
        <v>84</v>
      </c>
      <c r="K72" s="13">
        <v>10.8</v>
      </c>
      <c r="L72" s="12">
        <v>115</v>
      </c>
      <c r="M72" s="12">
        <v>260</v>
      </c>
      <c r="N72" s="12">
        <v>19.5</v>
      </c>
      <c r="O72" s="19">
        <v>132.76</v>
      </c>
      <c r="Q72" t="s">
        <v>552</v>
      </c>
    </row>
    <row r="73" spans="3:17" x14ac:dyDescent="0.2">
      <c r="C73" s="1" t="s">
        <v>177</v>
      </c>
      <c r="D73" t="s">
        <v>324</v>
      </c>
      <c r="E73" t="s">
        <v>326</v>
      </c>
      <c r="F73" s="1" t="s">
        <v>395</v>
      </c>
      <c r="H73" s="12" t="s">
        <v>62</v>
      </c>
      <c r="I73" s="11" t="s">
        <v>1148</v>
      </c>
      <c r="J73" s="12" t="s">
        <v>84</v>
      </c>
      <c r="K73" s="13">
        <v>11.6</v>
      </c>
      <c r="L73" s="12">
        <v>134</v>
      </c>
      <c r="M73" s="12">
        <v>290</v>
      </c>
      <c r="N73" s="12">
        <v>19.5</v>
      </c>
      <c r="O73" s="19">
        <v>156.33000000000001</v>
      </c>
      <c r="Q73" t="s">
        <v>553</v>
      </c>
    </row>
    <row r="74" spans="3:17" x14ac:dyDescent="0.2">
      <c r="C74" s="1" t="s">
        <v>178</v>
      </c>
      <c r="D74" t="s">
        <v>324</v>
      </c>
      <c r="E74" t="s">
        <v>326</v>
      </c>
      <c r="F74" s="1" t="s">
        <v>396</v>
      </c>
      <c r="H74" s="12" t="s">
        <v>63</v>
      </c>
      <c r="I74" s="11" t="s">
        <v>1149</v>
      </c>
      <c r="J74" s="12" t="s">
        <v>84</v>
      </c>
      <c r="K74" s="13">
        <v>12.1</v>
      </c>
      <c r="L74" s="12">
        <v>154</v>
      </c>
      <c r="M74" s="12">
        <v>320</v>
      </c>
      <c r="N74" s="12">
        <v>19.5</v>
      </c>
      <c r="O74" s="19">
        <v>182</v>
      </c>
      <c r="Q74" t="s">
        <v>554</v>
      </c>
    </row>
    <row r="75" spans="3:17" x14ac:dyDescent="0.2">
      <c r="C75" s="1" t="s">
        <v>179</v>
      </c>
      <c r="D75" t="s">
        <v>324</v>
      </c>
      <c r="E75" t="s">
        <v>326</v>
      </c>
      <c r="F75" s="1" t="s">
        <v>397</v>
      </c>
      <c r="H75" s="12" t="s">
        <v>64</v>
      </c>
      <c r="I75" s="11" t="s">
        <v>1150</v>
      </c>
      <c r="J75" s="12" t="s">
        <v>84</v>
      </c>
      <c r="K75" s="13">
        <v>12.9</v>
      </c>
      <c r="L75" s="12">
        <v>173</v>
      </c>
      <c r="M75" s="12">
        <v>350</v>
      </c>
      <c r="N75" s="12">
        <v>19.5</v>
      </c>
      <c r="O75" s="19">
        <v>199.23</v>
      </c>
      <c r="Q75" t="s">
        <v>555</v>
      </c>
    </row>
    <row r="76" spans="3:17" x14ac:dyDescent="0.2">
      <c r="C76" s="1" t="s">
        <v>180</v>
      </c>
      <c r="D76" t="s">
        <v>324</v>
      </c>
      <c r="E76" t="s">
        <v>326</v>
      </c>
      <c r="F76" s="1" t="s">
        <v>398</v>
      </c>
      <c r="H76" s="12" t="s">
        <v>65</v>
      </c>
      <c r="I76" s="11" t="s">
        <v>1151</v>
      </c>
      <c r="J76" s="12" t="s">
        <v>84</v>
      </c>
      <c r="K76" s="13">
        <v>13</v>
      </c>
      <c r="L76" s="12">
        <v>182</v>
      </c>
      <c r="M76" s="12">
        <v>360</v>
      </c>
      <c r="N76" s="12">
        <v>19.5</v>
      </c>
      <c r="O76" s="19">
        <v>209</v>
      </c>
      <c r="Q76" t="s">
        <v>556</v>
      </c>
    </row>
    <row r="77" spans="3:17" x14ac:dyDescent="0.2">
      <c r="C77" s="1" t="s">
        <v>181</v>
      </c>
      <c r="D77" t="s">
        <v>324</v>
      </c>
      <c r="E77" t="s">
        <v>326</v>
      </c>
      <c r="F77" s="1" t="s">
        <v>399</v>
      </c>
      <c r="H77" s="12" t="s">
        <v>66</v>
      </c>
      <c r="I77" s="11" t="s">
        <v>1152</v>
      </c>
      <c r="J77" s="12" t="s">
        <v>84</v>
      </c>
      <c r="K77" s="13">
        <v>13.7</v>
      </c>
      <c r="L77" s="12">
        <v>192</v>
      </c>
      <c r="M77" s="12">
        <v>370</v>
      </c>
      <c r="N77" s="12">
        <v>19.5</v>
      </c>
      <c r="O77" s="19">
        <v>218</v>
      </c>
      <c r="Q77" t="s">
        <v>557</v>
      </c>
    </row>
    <row r="78" spans="3:17" x14ac:dyDescent="0.2">
      <c r="C78" s="1" t="s">
        <v>182</v>
      </c>
      <c r="D78" t="s">
        <v>324</v>
      </c>
      <c r="E78" t="s">
        <v>326</v>
      </c>
      <c r="F78" s="1" t="s">
        <v>400</v>
      </c>
      <c r="H78" s="12" t="s">
        <v>67</v>
      </c>
      <c r="I78" s="11" t="s">
        <v>1153</v>
      </c>
      <c r="J78" s="12" t="s">
        <v>84</v>
      </c>
      <c r="K78" s="13">
        <v>14.1</v>
      </c>
      <c r="L78" s="12">
        <v>205</v>
      </c>
      <c r="M78" s="12">
        <v>380</v>
      </c>
      <c r="N78" s="12">
        <v>19.5</v>
      </c>
      <c r="O78" s="19">
        <v>241.01</v>
      </c>
      <c r="Q78" t="s">
        <v>558</v>
      </c>
    </row>
    <row r="79" spans="3:17" x14ac:dyDescent="0.2">
      <c r="C79" s="1" t="s">
        <v>183</v>
      </c>
      <c r="D79" t="s">
        <v>324</v>
      </c>
      <c r="E79" t="s">
        <v>326</v>
      </c>
      <c r="F79" s="1" t="s">
        <v>401</v>
      </c>
      <c r="H79" s="12" t="s">
        <v>68</v>
      </c>
      <c r="I79" s="11" t="s">
        <v>1154</v>
      </c>
      <c r="J79" s="12" t="s">
        <v>84</v>
      </c>
      <c r="K79" s="13">
        <v>14.6</v>
      </c>
      <c r="L79" s="12">
        <v>236</v>
      </c>
      <c r="M79" s="12">
        <v>445</v>
      </c>
      <c r="N79" s="12">
        <v>19.5</v>
      </c>
      <c r="O79" s="19">
        <f>O80/25*24</f>
        <v>271.86239999999998</v>
      </c>
      <c r="Q79" t="s">
        <v>559</v>
      </c>
    </row>
    <row r="80" spans="3:17" x14ac:dyDescent="0.2">
      <c r="C80" s="1" t="s">
        <v>184</v>
      </c>
      <c r="D80" t="s">
        <v>324</v>
      </c>
      <c r="E80" t="s">
        <v>326</v>
      </c>
      <c r="F80" s="1" t="s">
        <v>402</v>
      </c>
      <c r="H80" s="12" t="s">
        <v>69</v>
      </c>
      <c r="I80" s="11" t="s">
        <v>1155</v>
      </c>
      <c r="J80" s="12" t="s">
        <v>84</v>
      </c>
      <c r="K80" s="13">
        <v>14.8</v>
      </c>
      <c r="L80" s="12">
        <v>240</v>
      </c>
      <c r="M80" s="12">
        <v>470</v>
      </c>
      <c r="N80" s="12">
        <v>19.5</v>
      </c>
      <c r="O80" s="19">
        <v>283.19</v>
      </c>
      <c r="Q80" t="s">
        <v>560</v>
      </c>
    </row>
    <row r="81" spans="3:17" x14ac:dyDescent="0.2">
      <c r="C81" s="1" t="s">
        <v>185</v>
      </c>
      <c r="D81" t="s">
        <v>324</v>
      </c>
      <c r="E81" t="s">
        <v>326</v>
      </c>
      <c r="F81" s="1" t="s">
        <v>403</v>
      </c>
      <c r="H81" s="12" t="s">
        <v>70</v>
      </c>
      <c r="I81" s="11" t="s">
        <v>1156</v>
      </c>
      <c r="J81" s="12" t="s">
        <v>84</v>
      </c>
      <c r="K81" s="13">
        <v>15.2</v>
      </c>
      <c r="L81" s="12">
        <v>252</v>
      </c>
      <c r="M81" s="12">
        <v>495</v>
      </c>
      <c r="N81" s="12">
        <v>19.5</v>
      </c>
      <c r="O81" s="19">
        <v>296</v>
      </c>
      <c r="Q81" t="s">
        <v>561</v>
      </c>
    </row>
    <row r="82" spans="3:17" x14ac:dyDescent="0.2">
      <c r="C82" s="1" t="s">
        <v>186</v>
      </c>
      <c r="D82" t="s">
        <v>324</v>
      </c>
      <c r="E82" t="s">
        <v>326</v>
      </c>
      <c r="F82" s="1" t="s">
        <v>404</v>
      </c>
      <c r="H82" s="12" t="s">
        <v>71</v>
      </c>
      <c r="I82" s="11" t="s">
        <v>1157</v>
      </c>
      <c r="J82" s="12" t="s">
        <v>84</v>
      </c>
      <c r="K82" s="13">
        <v>15.9</v>
      </c>
      <c r="L82" s="12">
        <v>259</v>
      </c>
      <c r="M82" s="12">
        <v>530</v>
      </c>
      <c r="N82" s="12">
        <v>19.5</v>
      </c>
      <c r="O82" s="19">
        <v>307.57</v>
      </c>
      <c r="Q82" t="s">
        <v>562</v>
      </c>
    </row>
    <row r="83" spans="3:17" x14ac:dyDescent="0.2">
      <c r="C83" s="1" t="s">
        <v>187</v>
      </c>
      <c r="D83" t="s">
        <v>324</v>
      </c>
      <c r="E83" t="s">
        <v>326</v>
      </c>
      <c r="F83" s="1" t="s">
        <v>405</v>
      </c>
      <c r="H83" s="12" t="s">
        <v>72</v>
      </c>
      <c r="I83" s="11" t="s">
        <v>1158</v>
      </c>
      <c r="J83" s="12" t="s">
        <v>84</v>
      </c>
      <c r="K83" s="13">
        <v>17.2</v>
      </c>
      <c r="L83" s="12">
        <v>326</v>
      </c>
      <c r="M83" s="12">
        <v>600</v>
      </c>
      <c r="N83" s="12">
        <v>19.5</v>
      </c>
      <c r="O83" s="19">
        <v>400.84</v>
      </c>
      <c r="Q83" t="s">
        <v>563</v>
      </c>
    </row>
    <row r="84" spans="3:17" x14ac:dyDescent="0.2">
      <c r="C84" s="1" t="s">
        <v>188</v>
      </c>
      <c r="D84" t="s">
        <v>324</v>
      </c>
      <c r="E84" t="s">
        <v>326</v>
      </c>
      <c r="F84" s="1" t="s">
        <v>406</v>
      </c>
      <c r="H84" s="12" t="s">
        <v>73</v>
      </c>
      <c r="I84" s="11" t="s">
        <v>1159</v>
      </c>
      <c r="J84" s="12" t="s">
        <v>84</v>
      </c>
      <c r="K84" s="13">
        <v>17.5</v>
      </c>
      <c r="L84" s="12">
        <v>346</v>
      </c>
      <c r="M84" s="12">
        <v>620</v>
      </c>
      <c r="N84" s="12">
        <v>19.5</v>
      </c>
      <c r="O84" s="19">
        <v>429</v>
      </c>
      <c r="Q84" t="s">
        <v>564</v>
      </c>
    </row>
    <row r="85" spans="3:17" x14ac:dyDescent="0.2">
      <c r="C85" s="1" t="s">
        <v>189</v>
      </c>
      <c r="D85" t="s">
        <v>324</v>
      </c>
      <c r="E85" t="s">
        <v>326</v>
      </c>
      <c r="F85" s="1" t="s">
        <v>407</v>
      </c>
      <c r="H85" s="12" t="s">
        <v>74</v>
      </c>
      <c r="I85" s="11" t="s">
        <v>1160</v>
      </c>
      <c r="J85" s="12" t="s">
        <v>84</v>
      </c>
      <c r="K85" s="13">
        <v>17.600000000000001</v>
      </c>
      <c r="L85" s="12">
        <v>355</v>
      </c>
      <c r="M85" s="12">
        <v>630</v>
      </c>
      <c r="N85" s="12">
        <v>19.5</v>
      </c>
      <c r="O85" s="19">
        <f>O84/36*37</f>
        <v>440.91666666666663</v>
      </c>
      <c r="Q85" t="s">
        <v>565</v>
      </c>
    </row>
    <row r="86" spans="3:17" x14ac:dyDescent="0.2">
      <c r="C86" s="1" t="s">
        <v>190</v>
      </c>
      <c r="D86" t="s">
        <v>324</v>
      </c>
      <c r="E86" t="s">
        <v>326</v>
      </c>
      <c r="F86" s="1" t="s">
        <v>408</v>
      </c>
      <c r="H86" s="12" t="s">
        <v>75</v>
      </c>
      <c r="I86" s="11" t="s">
        <v>1161</v>
      </c>
      <c r="J86" s="12" t="s">
        <v>84</v>
      </c>
      <c r="K86" s="13">
        <v>18.399999999999999</v>
      </c>
      <c r="L86" s="12">
        <v>384</v>
      </c>
      <c r="M86" s="12">
        <v>680</v>
      </c>
      <c r="N86" s="12">
        <v>19.5</v>
      </c>
      <c r="O86" s="19">
        <f>O88/42*40</f>
        <v>464.63809523809522</v>
      </c>
      <c r="Q86" t="s">
        <v>566</v>
      </c>
    </row>
    <row r="87" spans="3:17" x14ac:dyDescent="0.2">
      <c r="C87" s="1" t="s">
        <v>191</v>
      </c>
      <c r="D87" t="s">
        <v>324</v>
      </c>
      <c r="E87" t="s">
        <v>326</v>
      </c>
      <c r="F87" s="1" t="s">
        <v>409</v>
      </c>
      <c r="H87" s="12" t="s">
        <v>76</v>
      </c>
      <c r="I87" s="11" t="s">
        <v>1162</v>
      </c>
      <c r="J87" s="12" t="s">
        <v>84</v>
      </c>
      <c r="K87" s="13">
        <v>18.899999999999999</v>
      </c>
      <c r="L87" s="12">
        <v>394</v>
      </c>
      <c r="M87" s="12">
        <v>700</v>
      </c>
      <c r="N87" s="12">
        <v>19.5</v>
      </c>
      <c r="O87" s="19">
        <f>O88/42*41</f>
        <v>476.25404761904764</v>
      </c>
      <c r="Q87" t="s">
        <v>567</v>
      </c>
    </row>
    <row r="88" spans="3:17" x14ac:dyDescent="0.2">
      <c r="C88" s="1" t="s">
        <v>192</v>
      </c>
      <c r="D88" t="s">
        <v>324</v>
      </c>
      <c r="E88" t="s">
        <v>326</v>
      </c>
      <c r="F88" s="1" t="s">
        <v>410</v>
      </c>
      <c r="H88" s="12" t="s">
        <v>77</v>
      </c>
      <c r="I88" s="11" t="s">
        <v>1163</v>
      </c>
      <c r="J88" s="12" t="s">
        <v>84</v>
      </c>
      <c r="K88" s="13">
        <v>19</v>
      </c>
      <c r="L88" s="12">
        <v>403</v>
      </c>
      <c r="M88" s="12">
        <v>720</v>
      </c>
      <c r="N88" s="12">
        <v>19.5</v>
      </c>
      <c r="O88" s="19">
        <v>487.87</v>
      </c>
      <c r="Q88" t="s">
        <v>568</v>
      </c>
    </row>
    <row r="89" spans="3:17" x14ac:dyDescent="0.2">
      <c r="C89" s="1" t="s">
        <v>193</v>
      </c>
      <c r="D89" t="s">
        <v>324</v>
      </c>
      <c r="E89" t="s">
        <v>326</v>
      </c>
      <c r="F89" s="1" t="s">
        <v>411</v>
      </c>
      <c r="H89" s="12" t="s">
        <v>78</v>
      </c>
      <c r="I89" s="11" t="s">
        <v>1164</v>
      </c>
      <c r="J89" s="12" t="s">
        <v>84</v>
      </c>
      <c r="K89" s="13">
        <v>20.9</v>
      </c>
      <c r="L89" s="12">
        <v>480</v>
      </c>
      <c r="M89" s="12">
        <v>925</v>
      </c>
      <c r="N89" s="12">
        <v>19.5</v>
      </c>
      <c r="O89" s="19">
        <v>668.43</v>
      </c>
      <c r="Q89" t="s">
        <v>569</v>
      </c>
    </row>
    <row r="90" spans="3:17" x14ac:dyDescent="0.2">
      <c r="C90" s="1" t="s">
        <v>194</v>
      </c>
      <c r="D90" t="s">
        <v>324</v>
      </c>
      <c r="E90" t="s">
        <v>326</v>
      </c>
      <c r="F90" s="1" t="s">
        <v>412</v>
      </c>
      <c r="H90" s="12" t="s">
        <v>79</v>
      </c>
      <c r="I90" s="11" t="s">
        <v>1165</v>
      </c>
      <c r="J90" s="12" t="s">
        <v>84</v>
      </c>
      <c r="K90" s="13">
        <v>21.6</v>
      </c>
      <c r="L90" s="12">
        <v>538</v>
      </c>
      <c r="M90" s="12">
        <v>1020</v>
      </c>
      <c r="N90" s="12">
        <v>19.5</v>
      </c>
      <c r="O90" s="19" t="s">
        <v>904</v>
      </c>
      <c r="Q90" t="s">
        <v>570</v>
      </c>
    </row>
    <row r="91" spans="3:17" x14ac:dyDescent="0.2">
      <c r="C91" s="1" t="s">
        <v>195</v>
      </c>
      <c r="D91" t="s">
        <v>324</v>
      </c>
      <c r="E91" t="s">
        <v>326</v>
      </c>
      <c r="F91" s="1" t="s">
        <v>413</v>
      </c>
      <c r="H91" s="12" t="s">
        <v>80</v>
      </c>
      <c r="I91" s="11" t="s">
        <v>1166</v>
      </c>
      <c r="J91" s="12" t="s">
        <v>84</v>
      </c>
      <c r="K91" s="13">
        <v>22.5</v>
      </c>
      <c r="L91" s="12">
        <v>586</v>
      </c>
      <c r="M91" s="12">
        <v>1100</v>
      </c>
      <c r="N91" s="12">
        <v>19.5</v>
      </c>
      <c r="O91" s="19" t="s">
        <v>904</v>
      </c>
      <c r="Q91" t="s">
        <v>571</v>
      </c>
    </row>
    <row r="92" spans="3:17" x14ac:dyDescent="0.2">
      <c r="C92" s="1" t="s">
        <v>196</v>
      </c>
      <c r="D92" t="s">
        <v>324</v>
      </c>
      <c r="E92" t="s">
        <v>326</v>
      </c>
      <c r="F92" s="1" t="s">
        <v>414</v>
      </c>
      <c r="H92" s="12" t="s">
        <v>81</v>
      </c>
      <c r="I92" s="11" t="s">
        <v>1167</v>
      </c>
      <c r="J92" s="12" t="s">
        <v>84</v>
      </c>
      <c r="K92" s="13">
        <v>23.4</v>
      </c>
      <c r="L92" s="12">
        <v>624</v>
      </c>
      <c r="M92" s="12">
        <v>1170</v>
      </c>
      <c r="N92" s="12">
        <v>19.5</v>
      </c>
      <c r="O92" s="19" t="s">
        <v>904</v>
      </c>
      <c r="Q92" t="s">
        <v>572</v>
      </c>
    </row>
    <row r="93" spans="3:17" x14ac:dyDescent="0.2">
      <c r="C93" s="1" t="s">
        <v>197</v>
      </c>
      <c r="D93" t="s">
        <v>324</v>
      </c>
      <c r="E93" t="s">
        <v>326</v>
      </c>
      <c r="F93" s="1" t="s">
        <v>415</v>
      </c>
      <c r="H93" s="12" t="s">
        <v>82</v>
      </c>
      <c r="I93" s="11" t="s">
        <v>1168</v>
      </c>
      <c r="J93" s="12" t="s">
        <v>84</v>
      </c>
      <c r="K93" s="13">
        <v>25.7</v>
      </c>
      <c r="L93" s="12">
        <v>786</v>
      </c>
      <c r="M93" s="12">
        <v>1300</v>
      </c>
      <c r="N93" s="12">
        <v>19.5</v>
      </c>
      <c r="O93" s="19">
        <v>1013.12</v>
      </c>
      <c r="Q93" t="s">
        <v>573</v>
      </c>
    </row>
    <row r="94" spans="3:17" x14ac:dyDescent="0.2">
      <c r="C94" s="1" t="s">
        <v>198</v>
      </c>
      <c r="D94" t="s">
        <v>324</v>
      </c>
      <c r="E94" t="s">
        <v>326</v>
      </c>
      <c r="F94" s="1" t="s">
        <v>416</v>
      </c>
      <c r="H94" s="12" t="s">
        <v>83</v>
      </c>
      <c r="I94" s="11" t="s">
        <v>1169</v>
      </c>
      <c r="J94" s="12" t="s">
        <v>84</v>
      </c>
      <c r="K94" s="13">
        <v>28.6</v>
      </c>
      <c r="L94" s="12">
        <v>960</v>
      </c>
      <c r="M94" s="12">
        <v>1630</v>
      </c>
      <c r="N94" s="12">
        <v>19.5</v>
      </c>
      <c r="O94" s="19" t="s">
        <v>904</v>
      </c>
      <c r="Q94" t="s">
        <v>574</v>
      </c>
    </row>
    <row r="95" spans="3:17" ht="3.6" customHeight="1" x14ac:dyDescent="0.2">
      <c r="H95" s="15"/>
      <c r="I95" s="16"/>
      <c r="J95" s="15"/>
      <c r="K95" s="17"/>
      <c r="L95" s="15"/>
      <c r="M95" s="15"/>
      <c r="N95" s="15"/>
      <c r="O95" s="20"/>
    </row>
    <row r="96" spans="3:17" x14ac:dyDescent="0.2">
      <c r="C96" s="1" t="s">
        <v>114</v>
      </c>
      <c r="D96" t="s">
        <v>323</v>
      </c>
      <c r="E96" t="s">
        <v>325</v>
      </c>
      <c r="F96" s="1" t="s">
        <v>330</v>
      </c>
      <c r="H96" s="12" t="s">
        <v>205</v>
      </c>
      <c r="I96" s="11" t="s">
        <v>1170</v>
      </c>
      <c r="J96" s="12" t="s">
        <v>220</v>
      </c>
      <c r="K96" s="13">
        <v>6.6</v>
      </c>
      <c r="L96" s="12">
        <v>28.8</v>
      </c>
      <c r="M96" s="12">
        <v>100</v>
      </c>
      <c r="N96" s="12">
        <v>13.3</v>
      </c>
      <c r="O96" s="19">
        <v>31.55</v>
      </c>
      <c r="Q96" t="s">
        <v>575</v>
      </c>
    </row>
    <row r="97" spans="3:17" x14ac:dyDescent="0.2">
      <c r="C97" s="1" t="s">
        <v>115</v>
      </c>
      <c r="D97" t="s">
        <v>324</v>
      </c>
      <c r="E97" t="s">
        <v>326</v>
      </c>
      <c r="F97" s="1" t="s">
        <v>417</v>
      </c>
      <c r="H97" s="12" t="s">
        <v>206</v>
      </c>
      <c r="I97" s="11" t="s">
        <v>1171</v>
      </c>
      <c r="J97" s="12" t="s">
        <v>220</v>
      </c>
      <c r="K97" s="13">
        <v>6.8</v>
      </c>
      <c r="L97" s="12">
        <v>43.2</v>
      </c>
      <c r="M97" s="12">
        <v>110</v>
      </c>
      <c r="N97" s="12">
        <v>13.3</v>
      </c>
      <c r="O97" s="19">
        <v>45.25</v>
      </c>
      <c r="Q97" t="s">
        <v>576</v>
      </c>
    </row>
    <row r="98" spans="3:17" x14ac:dyDescent="0.2">
      <c r="C98" s="1" t="s">
        <v>116</v>
      </c>
      <c r="D98" t="s">
        <v>324</v>
      </c>
      <c r="E98" t="s">
        <v>326</v>
      </c>
      <c r="F98" s="1" t="s">
        <v>418</v>
      </c>
      <c r="H98" s="12" t="s">
        <v>207</v>
      </c>
      <c r="I98" s="11" t="s">
        <v>1172</v>
      </c>
      <c r="J98" s="12" t="s">
        <v>220</v>
      </c>
      <c r="K98" s="13">
        <v>7.4</v>
      </c>
      <c r="L98" s="12">
        <v>57.6</v>
      </c>
      <c r="M98" s="12">
        <v>125</v>
      </c>
      <c r="N98" s="12">
        <v>13.3</v>
      </c>
      <c r="O98" s="19">
        <v>58.05</v>
      </c>
      <c r="Q98" t="s">
        <v>577</v>
      </c>
    </row>
    <row r="99" spans="3:17" x14ac:dyDescent="0.2">
      <c r="C99" s="1" t="s">
        <v>117</v>
      </c>
      <c r="D99" t="s">
        <v>324</v>
      </c>
      <c r="E99" t="s">
        <v>326</v>
      </c>
      <c r="F99" s="1" t="s">
        <v>419</v>
      </c>
      <c r="H99" s="12" t="s">
        <v>208</v>
      </c>
      <c r="I99" s="11" t="s">
        <v>1173</v>
      </c>
      <c r="J99" s="12" t="s">
        <v>220</v>
      </c>
      <c r="K99" s="13">
        <v>8.3000000000000007</v>
      </c>
      <c r="L99" s="13">
        <v>72</v>
      </c>
      <c r="M99" s="12">
        <v>145</v>
      </c>
      <c r="N99" s="12">
        <v>13.3</v>
      </c>
      <c r="O99" s="19">
        <v>73.290000000000006</v>
      </c>
      <c r="Q99" t="s">
        <v>578</v>
      </c>
    </row>
    <row r="100" spans="3:17" x14ac:dyDescent="0.2">
      <c r="C100" s="1" t="s">
        <v>118</v>
      </c>
      <c r="D100" t="s">
        <v>324</v>
      </c>
      <c r="E100" t="s">
        <v>326</v>
      </c>
      <c r="F100" s="1" t="s">
        <v>420</v>
      </c>
      <c r="H100" s="12" t="s">
        <v>209</v>
      </c>
      <c r="I100" s="11" t="s">
        <v>1174</v>
      </c>
      <c r="J100" s="12" t="s">
        <v>220</v>
      </c>
      <c r="K100" s="13">
        <v>9</v>
      </c>
      <c r="L100" s="12">
        <v>86.4</v>
      </c>
      <c r="M100" s="12">
        <v>170</v>
      </c>
      <c r="N100" s="12">
        <v>13.3</v>
      </c>
      <c r="O100" s="19">
        <v>92</v>
      </c>
      <c r="Q100" t="s">
        <v>579</v>
      </c>
    </row>
    <row r="101" spans="3:17" x14ac:dyDescent="0.2">
      <c r="C101" s="1" t="s">
        <v>119</v>
      </c>
      <c r="D101" t="s">
        <v>324</v>
      </c>
      <c r="E101" t="s">
        <v>326</v>
      </c>
      <c r="F101" s="1" t="s">
        <v>421</v>
      </c>
      <c r="H101" s="12" t="s">
        <v>210</v>
      </c>
      <c r="I101" s="11" t="s">
        <v>1175</v>
      </c>
      <c r="J101" s="12" t="s">
        <v>220</v>
      </c>
      <c r="K101" s="13">
        <v>9.1</v>
      </c>
      <c r="L101" s="12">
        <v>101</v>
      </c>
      <c r="M101" s="12">
        <v>195</v>
      </c>
      <c r="N101" s="12">
        <v>13.3</v>
      </c>
      <c r="O101" s="19">
        <v>104.86</v>
      </c>
      <c r="Q101" t="s">
        <v>580</v>
      </c>
    </row>
    <row r="102" spans="3:17" x14ac:dyDescent="0.2">
      <c r="C102" s="1" t="s">
        <v>120</v>
      </c>
      <c r="D102" t="s">
        <v>324</v>
      </c>
      <c r="E102" t="s">
        <v>326</v>
      </c>
      <c r="F102" s="1" t="s">
        <v>422</v>
      </c>
      <c r="H102" s="12" t="s">
        <v>211</v>
      </c>
      <c r="I102" s="11" t="s">
        <v>1176</v>
      </c>
      <c r="J102" s="12" t="s">
        <v>220</v>
      </c>
      <c r="K102" s="13">
        <v>10.9</v>
      </c>
      <c r="L102" s="12">
        <v>115</v>
      </c>
      <c r="M102" s="12">
        <v>215</v>
      </c>
      <c r="N102" s="12">
        <v>13.3</v>
      </c>
      <c r="O102" s="19">
        <v>120.74</v>
      </c>
      <c r="Q102" t="s">
        <v>581</v>
      </c>
    </row>
    <row r="103" spans="3:17" x14ac:dyDescent="0.2">
      <c r="C103" s="1" t="s">
        <v>121</v>
      </c>
      <c r="D103" t="s">
        <v>324</v>
      </c>
      <c r="E103" t="s">
        <v>326</v>
      </c>
      <c r="F103" s="1" t="s">
        <v>423</v>
      </c>
      <c r="H103" s="12" t="s">
        <v>212</v>
      </c>
      <c r="I103" s="11" t="s">
        <v>1177</v>
      </c>
      <c r="J103" s="12" t="s">
        <v>220</v>
      </c>
      <c r="K103" s="13">
        <v>11.7</v>
      </c>
      <c r="L103" s="12">
        <v>129</v>
      </c>
      <c r="M103" s="12">
        <v>230</v>
      </c>
      <c r="N103" s="12">
        <v>13.3</v>
      </c>
      <c r="O103" s="19">
        <v>137.97</v>
      </c>
      <c r="Q103" t="s">
        <v>582</v>
      </c>
    </row>
    <row r="104" spans="3:17" x14ac:dyDescent="0.2">
      <c r="C104" s="1" t="s">
        <v>122</v>
      </c>
      <c r="D104" t="s">
        <v>324</v>
      </c>
      <c r="E104" t="s">
        <v>326</v>
      </c>
      <c r="F104" s="1" t="s">
        <v>424</v>
      </c>
      <c r="H104" s="12" t="s">
        <v>213</v>
      </c>
      <c r="I104" s="11" t="s">
        <v>1178</v>
      </c>
      <c r="J104" s="12" t="s">
        <v>220</v>
      </c>
      <c r="K104" s="13">
        <v>11.8</v>
      </c>
      <c r="L104" s="12">
        <v>144</v>
      </c>
      <c r="M104" s="12">
        <v>260</v>
      </c>
      <c r="N104" s="12">
        <v>13.3</v>
      </c>
      <c r="O104" s="19">
        <v>155.62</v>
      </c>
      <c r="Q104" t="s">
        <v>583</v>
      </c>
    </row>
    <row r="105" spans="3:17" x14ac:dyDescent="0.2">
      <c r="C105" s="1" t="s">
        <v>123</v>
      </c>
      <c r="D105" t="s">
        <v>324</v>
      </c>
      <c r="E105" t="s">
        <v>326</v>
      </c>
      <c r="F105" s="1" t="s">
        <v>425</v>
      </c>
      <c r="H105" s="12" t="s">
        <v>214</v>
      </c>
      <c r="I105" s="11" t="s">
        <v>1179</v>
      </c>
      <c r="J105" s="12" t="s">
        <v>220</v>
      </c>
      <c r="K105" s="13">
        <v>12.4</v>
      </c>
      <c r="L105" s="12">
        <v>173</v>
      </c>
      <c r="M105" s="12">
        <v>310</v>
      </c>
      <c r="N105" s="12">
        <v>13.3</v>
      </c>
      <c r="O105" s="19">
        <v>179.67</v>
      </c>
      <c r="Q105" t="s">
        <v>584</v>
      </c>
    </row>
    <row r="106" spans="3:17" x14ac:dyDescent="0.2">
      <c r="C106" s="1" t="s">
        <v>199</v>
      </c>
      <c r="D106" t="s">
        <v>324</v>
      </c>
      <c r="E106" t="s">
        <v>326</v>
      </c>
      <c r="F106" s="1" t="s">
        <v>426</v>
      </c>
      <c r="H106" s="12" t="s">
        <v>215</v>
      </c>
      <c r="I106" s="11" t="s">
        <v>1180</v>
      </c>
      <c r="J106" s="12" t="s">
        <v>220</v>
      </c>
      <c r="K106" s="13">
        <v>12.9</v>
      </c>
      <c r="L106" s="12">
        <v>202</v>
      </c>
      <c r="M106" s="12">
        <v>360</v>
      </c>
      <c r="N106" s="12">
        <v>13.3</v>
      </c>
      <c r="O106" s="19">
        <v>212.53</v>
      </c>
      <c r="Q106" t="s">
        <v>585</v>
      </c>
    </row>
    <row r="107" spans="3:17" x14ac:dyDescent="0.2">
      <c r="C107" s="1" t="s">
        <v>200</v>
      </c>
      <c r="D107" t="s">
        <v>324</v>
      </c>
      <c r="E107" t="s">
        <v>326</v>
      </c>
      <c r="F107" s="1" t="s">
        <v>427</v>
      </c>
      <c r="H107" s="12" t="s">
        <v>216</v>
      </c>
      <c r="I107" s="11" t="s">
        <v>1181</v>
      </c>
      <c r="J107" s="12" t="s">
        <v>220</v>
      </c>
      <c r="K107" s="13">
        <v>13.8</v>
      </c>
      <c r="L107" s="12">
        <v>230</v>
      </c>
      <c r="M107" s="12">
        <v>390</v>
      </c>
      <c r="N107" s="12">
        <v>13.3</v>
      </c>
      <c r="O107" s="19">
        <v>251.92</v>
      </c>
      <c r="Q107" t="s">
        <v>586</v>
      </c>
    </row>
    <row r="108" spans="3:17" x14ac:dyDescent="0.2">
      <c r="C108" s="1" t="s">
        <v>201</v>
      </c>
      <c r="D108" t="s">
        <v>324</v>
      </c>
      <c r="E108" t="s">
        <v>326</v>
      </c>
      <c r="F108" s="1" t="s">
        <v>428</v>
      </c>
      <c r="H108" s="12" t="s">
        <v>217</v>
      </c>
      <c r="I108" s="11" t="s">
        <v>1182</v>
      </c>
      <c r="J108" s="12" t="s">
        <v>220</v>
      </c>
      <c r="K108" s="13">
        <v>14.8</v>
      </c>
      <c r="L108" s="12">
        <v>259</v>
      </c>
      <c r="M108" s="12">
        <v>420</v>
      </c>
      <c r="N108" s="12">
        <v>13.3</v>
      </c>
      <c r="O108" s="19">
        <v>283.94</v>
      </c>
      <c r="Q108" t="s">
        <v>587</v>
      </c>
    </row>
    <row r="109" spans="3:17" x14ac:dyDescent="0.2">
      <c r="C109" s="1" t="s">
        <v>202</v>
      </c>
      <c r="D109" t="s">
        <v>324</v>
      </c>
      <c r="E109" t="s">
        <v>326</v>
      </c>
      <c r="F109" s="1" t="s">
        <v>429</v>
      </c>
      <c r="H109" s="12" t="s">
        <v>218</v>
      </c>
      <c r="I109" s="11" t="s">
        <v>1183</v>
      </c>
      <c r="J109" s="12" t="s">
        <v>220</v>
      </c>
      <c r="K109" s="13">
        <v>14.9</v>
      </c>
      <c r="L109" s="12">
        <v>279</v>
      </c>
      <c r="M109" s="12">
        <v>440</v>
      </c>
      <c r="N109" s="12">
        <v>13.3</v>
      </c>
      <c r="O109" s="19">
        <f>O108*19/18</f>
        <v>299.71444444444444</v>
      </c>
      <c r="Q109" t="s">
        <v>588</v>
      </c>
    </row>
    <row r="110" spans="3:17" x14ac:dyDescent="0.2">
      <c r="C110" s="1" t="s">
        <v>203</v>
      </c>
      <c r="D110" t="s">
        <v>324</v>
      </c>
      <c r="E110" t="s">
        <v>326</v>
      </c>
      <c r="F110" s="1" t="s">
        <v>430</v>
      </c>
      <c r="H110" s="12" t="s">
        <v>219</v>
      </c>
      <c r="I110" s="11" t="s">
        <v>1184</v>
      </c>
      <c r="J110" s="12" t="s">
        <v>220</v>
      </c>
      <c r="K110" s="13">
        <v>16</v>
      </c>
      <c r="L110" s="12">
        <v>302</v>
      </c>
      <c r="M110" s="12">
        <v>535</v>
      </c>
      <c r="N110" s="12">
        <v>13.3</v>
      </c>
      <c r="O110" s="19">
        <v>321.95999999999998</v>
      </c>
      <c r="Q110" t="s">
        <v>589</v>
      </c>
    </row>
    <row r="111" spans="3:17" x14ac:dyDescent="0.2">
      <c r="C111" s="1" t="s">
        <v>221</v>
      </c>
      <c r="D111" t="s">
        <v>324</v>
      </c>
      <c r="E111" t="s">
        <v>326</v>
      </c>
      <c r="F111" s="1" t="s">
        <v>431</v>
      </c>
      <c r="H111" s="12" t="s">
        <v>265</v>
      </c>
      <c r="I111" s="11" t="s">
        <v>1185</v>
      </c>
      <c r="J111" s="12" t="s">
        <v>220</v>
      </c>
      <c r="K111" s="13">
        <v>17.2</v>
      </c>
      <c r="L111" s="12">
        <v>360</v>
      </c>
      <c r="M111" s="12">
        <v>600</v>
      </c>
      <c r="N111" s="12">
        <v>13.3</v>
      </c>
      <c r="O111" s="19">
        <v>399.4</v>
      </c>
      <c r="Q111" t="s">
        <v>590</v>
      </c>
    </row>
    <row r="112" spans="3:17" x14ac:dyDescent="0.2">
      <c r="C112" s="1" t="s">
        <v>222</v>
      </c>
      <c r="D112" t="s">
        <v>324</v>
      </c>
      <c r="E112" t="s">
        <v>326</v>
      </c>
      <c r="F112" s="1" t="s">
        <v>432</v>
      </c>
      <c r="H112" s="12" t="s">
        <v>266</v>
      </c>
      <c r="I112" s="11" t="s">
        <v>1186</v>
      </c>
      <c r="J112" s="12" t="s">
        <v>220</v>
      </c>
      <c r="K112" s="13">
        <v>18.8</v>
      </c>
      <c r="L112" s="12">
        <v>432</v>
      </c>
      <c r="M112" s="12">
        <v>660</v>
      </c>
      <c r="N112" s="12">
        <v>13.3</v>
      </c>
      <c r="O112" s="19">
        <v>438</v>
      </c>
      <c r="Q112" t="s">
        <v>591</v>
      </c>
    </row>
    <row r="113" spans="3:17" x14ac:dyDescent="0.2">
      <c r="C113" s="1" t="s">
        <v>223</v>
      </c>
      <c r="D113" t="s">
        <v>324</v>
      </c>
      <c r="E113" t="s">
        <v>326</v>
      </c>
      <c r="F113" s="1" t="s">
        <v>433</v>
      </c>
      <c r="H113" s="12" t="s">
        <v>267</v>
      </c>
      <c r="I113" s="11" t="s">
        <v>1187</v>
      </c>
      <c r="J113" s="12" t="s">
        <v>220</v>
      </c>
      <c r="K113" s="13">
        <v>19.8</v>
      </c>
      <c r="L113" s="12">
        <v>490</v>
      </c>
      <c r="M113" s="12">
        <v>730</v>
      </c>
      <c r="N113" s="12">
        <v>13.3</v>
      </c>
      <c r="O113" s="19">
        <v>562.38</v>
      </c>
      <c r="Q113" t="s">
        <v>592</v>
      </c>
    </row>
    <row r="114" spans="3:17" x14ac:dyDescent="0.2">
      <c r="C114" s="1" t="s">
        <v>224</v>
      </c>
      <c r="D114" t="s">
        <v>324</v>
      </c>
      <c r="E114" t="s">
        <v>326</v>
      </c>
      <c r="F114" s="1" t="s">
        <v>434</v>
      </c>
      <c r="H114" s="12" t="s">
        <v>268</v>
      </c>
      <c r="I114" s="11" t="s">
        <v>1188</v>
      </c>
      <c r="J114" s="12" t="s">
        <v>220</v>
      </c>
      <c r="K114" s="13">
        <v>21.6</v>
      </c>
      <c r="L114" s="12">
        <v>576</v>
      </c>
      <c r="M114" s="12">
        <v>895</v>
      </c>
      <c r="N114" s="12">
        <v>13.3</v>
      </c>
      <c r="O114" s="19">
        <f>O115/42*40</f>
        <v>626.27619047619055</v>
      </c>
      <c r="Q114" t="s">
        <v>593</v>
      </c>
    </row>
    <row r="115" spans="3:17" x14ac:dyDescent="0.2">
      <c r="C115" s="1" t="s">
        <v>225</v>
      </c>
      <c r="D115" t="s">
        <v>324</v>
      </c>
      <c r="E115" t="s">
        <v>326</v>
      </c>
      <c r="F115" s="1" t="s">
        <v>435</v>
      </c>
      <c r="H115" s="12" t="s">
        <v>269</v>
      </c>
      <c r="I115" s="11" t="s">
        <v>1189</v>
      </c>
      <c r="J115" s="12" t="s">
        <v>220</v>
      </c>
      <c r="K115" s="13">
        <v>21.6</v>
      </c>
      <c r="L115" s="12">
        <v>605</v>
      </c>
      <c r="M115" s="12">
        <v>900</v>
      </c>
      <c r="N115" s="12">
        <v>13.3</v>
      </c>
      <c r="O115" s="19">
        <v>657.59</v>
      </c>
      <c r="Q115" t="s">
        <v>594</v>
      </c>
    </row>
    <row r="116" spans="3:17" x14ac:dyDescent="0.2">
      <c r="C116" s="1" t="s">
        <v>226</v>
      </c>
      <c r="D116" t="s">
        <v>324</v>
      </c>
      <c r="E116" t="s">
        <v>326</v>
      </c>
      <c r="F116" s="1" t="s">
        <v>436</v>
      </c>
      <c r="H116" s="12" t="s">
        <v>270</v>
      </c>
      <c r="I116" s="11" t="s">
        <v>1190</v>
      </c>
      <c r="J116" s="12" t="s">
        <v>220</v>
      </c>
      <c r="K116" s="13">
        <v>23.8</v>
      </c>
      <c r="L116" s="12">
        <v>720</v>
      </c>
      <c r="M116" s="12">
        <v>1060</v>
      </c>
      <c r="N116" s="12">
        <v>13.3</v>
      </c>
      <c r="O116" s="19">
        <v>951.27</v>
      </c>
      <c r="Q116" t="s">
        <v>595</v>
      </c>
    </row>
    <row r="117" spans="3:17" x14ac:dyDescent="0.2">
      <c r="C117" s="1" t="s">
        <v>227</v>
      </c>
      <c r="D117" t="s">
        <v>324</v>
      </c>
      <c r="E117" t="s">
        <v>326</v>
      </c>
      <c r="F117" s="1" t="s">
        <v>437</v>
      </c>
      <c r="H117" s="12" t="s">
        <v>271</v>
      </c>
      <c r="I117" s="11" t="s">
        <v>1191</v>
      </c>
      <c r="J117" s="12" t="s">
        <v>220</v>
      </c>
      <c r="K117" s="13">
        <v>25.2</v>
      </c>
      <c r="L117" s="12">
        <v>806</v>
      </c>
      <c r="M117" s="12">
        <v>1200</v>
      </c>
      <c r="N117" s="12">
        <v>13.3</v>
      </c>
      <c r="O117" s="19">
        <v>1067</v>
      </c>
      <c r="Q117" t="s">
        <v>596</v>
      </c>
    </row>
    <row r="118" spans="3:17" x14ac:dyDescent="0.2">
      <c r="C118" s="1" t="s">
        <v>228</v>
      </c>
      <c r="D118" t="s">
        <v>324</v>
      </c>
      <c r="E118" t="s">
        <v>326</v>
      </c>
      <c r="F118" s="1" t="s">
        <v>438</v>
      </c>
      <c r="H118" s="12" t="s">
        <v>272</v>
      </c>
      <c r="I118" s="11" t="s">
        <v>1192</v>
      </c>
      <c r="J118" s="12" t="s">
        <v>220</v>
      </c>
      <c r="K118" s="13">
        <v>25.6</v>
      </c>
      <c r="L118" s="12">
        <v>878</v>
      </c>
      <c r="M118" s="12">
        <v>1320</v>
      </c>
      <c r="N118" s="12">
        <v>13.3</v>
      </c>
      <c r="O118" s="19">
        <v>1181.8399999999999</v>
      </c>
      <c r="Q118" t="s">
        <v>597</v>
      </c>
    </row>
    <row r="119" spans="3:17" x14ac:dyDescent="0.2">
      <c r="C119" s="1" t="s">
        <v>229</v>
      </c>
      <c r="D119" t="s">
        <v>324</v>
      </c>
      <c r="E119" t="s">
        <v>326</v>
      </c>
      <c r="F119" s="1" t="s">
        <v>439</v>
      </c>
      <c r="H119" s="12" t="s">
        <v>273</v>
      </c>
      <c r="I119" s="11" t="s">
        <v>1193</v>
      </c>
      <c r="J119" s="12" t="s">
        <v>220</v>
      </c>
      <c r="K119" s="13">
        <v>26.9</v>
      </c>
      <c r="L119" s="12">
        <v>936</v>
      </c>
      <c r="M119" s="12">
        <v>1440</v>
      </c>
      <c r="N119" s="12">
        <v>13.3</v>
      </c>
      <c r="O119" s="19" t="s">
        <v>904</v>
      </c>
      <c r="Q119" t="s">
        <v>598</v>
      </c>
    </row>
    <row r="120" spans="3:17" x14ac:dyDescent="0.2">
      <c r="C120" s="1" t="s">
        <v>230</v>
      </c>
      <c r="D120" t="s">
        <v>324</v>
      </c>
      <c r="E120" t="s">
        <v>326</v>
      </c>
      <c r="F120" s="1" t="s">
        <v>440</v>
      </c>
      <c r="H120" s="12" t="s">
        <v>274</v>
      </c>
      <c r="I120" s="11" t="s">
        <v>1194</v>
      </c>
      <c r="J120" s="12" t="s">
        <v>220</v>
      </c>
      <c r="K120" s="13">
        <v>29.4</v>
      </c>
      <c r="L120" s="12">
        <v>1152</v>
      </c>
      <c r="M120" s="12">
        <v>1750</v>
      </c>
      <c r="N120" s="12">
        <v>13.3</v>
      </c>
      <c r="O120" s="19" t="s">
        <v>904</v>
      </c>
      <c r="Q120" t="s">
        <v>599</v>
      </c>
    </row>
    <row r="121" spans="3:17" x14ac:dyDescent="0.2">
      <c r="C121" s="1" t="s">
        <v>231</v>
      </c>
      <c r="D121" t="s">
        <v>324</v>
      </c>
      <c r="E121" t="s">
        <v>326</v>
      </c>
      <c r="F121" s="1" t="s">
        <v>441</v>
      </c>
      <c r="H121" s="12" t="s">
        <v>275</v>
      </c>
      <c r="I121" s="11" t="s">
        <v>1195</v>
      </c>
      <c r="J121" s="12" t="s">
        <v>220</v>
      </c>
      <c r="K121" s="13">
        <v>32.799999999999997</v>
      </c>
      <c r="L121" s="12">
        <v>1440</v>
      </c>
      <c r="M121" s="12">
        <v>2355</v>
      </c>
      <c r="N121" s="12">
        <v>13.3</v>
      </c>
      <c r="O121" s="19" t="s">
        <v>904</v>
      </c>
      <c r="Q121" t="s">
        <v>600</v>
      </c>
    </row>
    <row r="122" spans="3:17" ht="3.6" customHeight="1" x14ac:dyDescent="0.2">
      <c r="H122" s="15"/>
      <c r="I122" s="16"/>
      <c r="J122" s="15"/>
      <c r="K122" s="17"/>
      <c r="L122" s="15"/>
      <c r="M122" s="15"/>
      <c r="N122" s="15"/>
      <c r="O122" s="20"/>
    </row>
    <row r="123" spans="3:17" x14ac:dyDescent="0.2">
      <c r="C123" s="1" t="s">
        <v>124</v>
      </c>
      <c r="D123" t="s">
        <v>323</v>
      </c>
      <c r="E123" t="s">
        <v>325</v>
      </c>
      <c r="F123" s="1" t="s">
        <v>331</v>
      </c>
      <c r="H123" s="12" t="s">
        <v>276</v>
      </c>
      <c r="I123" s="11" t="s">
        <v>1196</v>
      </c>
      <c r="J123" s="12" t="s">
        <v>316</v>
      </c>
      <c r="K123" s="13">
        <v>7.7</v>
      </c>
      <c r="L123" s="13">
        <v>48</v>
      </c>
      <c r="M123" s="12">
        <v>120</v>
      </c>
      <c r="N123" s="12">
        <v>7.98</v>
      </c>
      <c r="O123" s="19">
        <v>51.69</v>
      </c>
      <c r="Q123" t="s">
        <v>601</v>
      </c>
    </row>
    <row r="124" spans="3:17" x14ac:dyDescent="0.2">
      <c r="C124" s="1" t="s">
        <v>125</v>
      </c>
      <c r="D124" t="s">
        <v>324</v>
      </c>
      <c r="E124" t="s">
        <v>326</v>
      </c>
      <c r="F124" s="1" t="s">
        <v>442</v>
      </c>
      <c r="H124" s="12" t="s">
        <v>277</v>
      </c>
      <c r="I124" s="11" t="s">
        <v>1197</v>
      </c>
      <c r="J124" s="12" t="s">
        <v>316</v>
      </c>
      <c r="K124" s="13">
        <v>8.3000000000000007</v>
      </c>
      <c r="L124" s="13">
        <v>72</v>
      </c>
      <c r="M124" s="12">
        <v>170</v>
      </c>
      <c r="N124" s="12">
        <v>7.98</v>
      </c>
      <c r="O124" s="19">
        <v>74.2</v>
      </c>
      <c r="Q124" t="s">
        <v>602</v>
      </c>
    </row>
    <row r="125" spans="3:17" x14ac:dyDescent="0.2">
      <c r="C125" s="1" t="s">
        <v>126</v>
      </c>
      <c r="D125" t="s">
        <v>324</v>
      </c>
      <c r="E125" t="s">
        <v>326</v>
      </c>
      <c r="F125" s="1" t="s">
        <v>443</v>
      </c>
      <c r="H125" s="12" t="s">
        <v>278</v>
      </c>
      <c r="I125" s="11" t="s">
        <v>1198</v>
      </c>
      <c r="J125" s="12" t="s">
        <v>316</v>
      </c>
      <c r="K125" s="13">
        <v>9.1</v>
      </c>
      <c r="L125" s="13">
        <v>96</v>
      </c>
      <c r="M125" s="12">
        <v>180</v>
      </c>
      <c r="N125" s="12">
        <v>7.98</v>
      </c>
      <c r="O125" s="19">
        <v>97.12</v>
      </c>
      <c r="Q125" t="s">
        <v>603</v>
      </c>
    </row>
    <row r="126" spans="3:17" x14ac:dyDescent="0.2">
      <c r="C126" s="1" t="s">
        <v>127</v>
      </c>
      <c r="D126" t="s">
        <v>324</v>
      </c>
      <c r="E126" t="s">
        <v>326</v>
      </c>
      <c r="F126" s="1" t="s">
        <v>444</v>
      </c>
      <c r="H126" s="12" t="s">
        <v>279</v>
      </c>
      <c r="I126" s="11" t="s">
        <v>1199</v>
      </c>
      <c r="J126" s="12" t="s">
        <v>316</v>
      </c>
      <c r="K126" s="13">
        <v>10.199999999999999</v>
      </c>
      <c r="L126" s="12">
        <v>120</v>
      </c>
      <c r="M126" s="12">
        <v>190</v>
      </c>
      <c r="N126" s="12">
        <v>7.98</v>
      </c>
      <c r="O126" s="19">
        <v>123</v>
      </c>
      <c r="Q126" t="s">
        <v>604</v>
      </c>
    </row>
    <row r="127" spans="3:17" x14ac:dyDescent="0.2">
      <c r="C127" s="1" t="s">
        <v>128</v>
      </c>
      <c r="D127" t="s">
        <v>324</v>
      </c>
      <c r="E127" t="s">
        <v>326</v>
      </c>
      <c r="F127" s="1" t="s">
        <v>445</v>
      </c>
      <c r="H127" s="12" t="s">
        <v>280</v>
      </c>
      <c r="I127" s="11" t="s">
        <v>1200</v>
      </c>
      <c r="J127" s="12" t="s">
        <v>316</v>
      </c>
      <c r="K127" s="13">
        <v>11.2</v>
      </c>
      <c r="L127" s="12">
        <v>168</v>
      </c>
      <c r="M127" s="12">
        <v>280</v>
      </c>
      <c r="N127" s="12">
        <v>7.98</v>
      </c>
      <c r="O127" s="19">
        <v>175.12</v>
      </c>
      <c r="Q127" t="s">
        <v>605</v>
      </c>
    </row>
    <row r="128" spans="3:17" x14ac:dyDescent="0.2">
      <c r="C128" s="1" t="s">
        <v>129</v>
      </c>
      <c r="D128" t="s">
        <v>324</v>
      </c>
      <c r="E128" t="s">
        <v>326</v>
      </c>
      <c r="F128" s="1" t="s">
        <v>446</v>
      </c>
      <c r="H128" s="12" t="s">
        <v>281</v>
      </c>
      <c r="I128" s="11" t="s">
        <v>1201</v>
      </c>
      <c r="J128" s="12" t="s">
        <v>316</v>
      </c>
      <c r="K128" s="13">
        <v>13.1</v>
      </c>
      <c r="L128" s="12">
        <v>192</v>
      </c>
      <c r="M128" s="12">
        <v>325</v>
      </c>
      <c r="N128" s="12">
        <v>7.98</v>
      </c>
      <c r="O128" s="19">
        <v>188.45</v>
      </c>
      <c r="Q128" t="s">
        <v>606</v>
      </c>
    </row>
    <row r="129" spans="3:17" x14ac:dyDescent="0.2">
      <c r="C129" s="1" t="s">
        <v>130</v>
      </c>
      <c r="D129" t="s">
        <v>324</v>
      </c>
      <c r="E129" t="s">
        <v>326</v>
      </c>
      <c r="F129" s="1" t="s">
        <v>447</v>
      </c>
      <c r="H129" s="12" t="s">
        <v>282</v>
      </c>
      <c r="I129" s="11" t="s">
        <v>1202</v>
      </c>
      <c r="J129" s="12" t="s">
        <v>316</v>
      </c>
      <c r="K129" s="13">
        <v>15.1</v>
      </c>
      <c r="L129" s="12">
        <v>288</v>
      </c>
      <c r="M129" s="12">
        <v>510</v>
      </c>
      <c r="N129" s="12">
        <v>7.98</v>
      </c>
      <c r="O129" s="19">
        <v>296.24</v>
      </c>
      <c r="Q129" t="s">
        <v>607</v>
      </c>
    </row>
    <row r="130" spans="3:17" x14ac:dyDescent="0.2">
      <c r="C130" s="1" t="s">
        <v>232</v>
      </c>
      <c r="D130" t="s">
        <v>324</v>
      </c>
      <c r="E130" t="s">
        <v>326</v>
      </c>
      <c r="F130" s="1" t="s">
        <v>448</v>
      </c>
      <c r="H130" s="12" t="s">
        <v>283</v>
      </c>
      <c r="I130" s="11" t="s">
        <v>1203</v>
      </c>
      <c r="J130" s="12" t="s">
        <v>316</v>
      </c>
      <c r="K130" s="13">
        <v>16.100000000000001</v>
      </c>
      <c r="L130" s="12">
        <v>336</v>
      </c>
      <c r="M130" s="12">
        <v>600</v>
      </c>
      <c r="N130" s="12">
        <v>7.98</v>
      </c>
      <c r="O130" s="19">
        <v>321.33</v>
      </c>
      <c r="Q130" t="s">
        <v>608</v>
      </c>
    </row>
    <row r="131" spans="3:17" x14ac:dyDescent="0.2">
      <c r="C131" s="1" t="s">
        <v>233</v>
      </c>
      <c r="D131" t="s">
        <v>324</v>
      </c>
      <c r="E131" t="s">
        <v>326</v>
      </c>
      <c r="F131" s="1" t="s">
        <v>449</v>
      </c>
      <c r="H131" s="12" t="s">
        <v>284</v>
      </c>
      <c r="I131" s="11" t="s">
        <v>1204</v>
      </c>
      <c r="J131" s="12" t="s">
        <v>316</v>
      </c>
      <c r="K131" s="13">
        <v>18.100000000000001</v>
      </c>
      <c r="L131" s="12">
        <v>432</v>
      </c>
      <c r="M131" s="12">
        <v>870</v>
      </c>
      <c r="N131" s="12">
        <v>7.98</v>
      </c>
      <c r="O131" s="19">
        <v>425.57</v>
      </c>
      <c r="Q131" t="s">
        <v>609</v>
      </c>
    </row>
    <row r="132" spans="3:17" x14ac:dyDescent="0.2">
      <c r="C132" s="1" t="s">
        <v>234</v>
      </c>
      <c r="D132" t="s">
        <v>324</v>
      </c>
      <c r="E132" t="s">
        <v>326</v>
      </c>
      <c r="F132" s="1" t="s">
        <v>450</v>
      </c>
      <c r="H132" s="12" t="s">
        <v>285</v>
      </c>
      <c r="I132" s="11" t="s">
        <v>1205</v>
      </c>
      <c r="J132" s="12" t="s">
        <v>316</v>
      </c>
      <c r="K132" s="13">
        <v>21.2</v>
      </c>
      <c r="L132" s="12">
        <v>600</v>
      </c>
      <c r="M132" s="12">
        <v>1140</v>
      </c>
      <c r="N132" s="12">
        <v>7.98</v>
      </c>
      <c r="O132" s="19">
        <v>617.36</v>
      </c>
      <c r="Q132" t="s">
        <v>610</v>
      </c>
    </row>
    <row r="133" spans="3:17" x14ac:dyDescent="0.2">
      <c r="C133" s="1" t="s">
        <v>235</v>
      </c>
      <c r="D133" t="s">
        <v>324</v>
      </c>
      <c r="E133" t="s">
        <v>326</v>
      </c>
      <c r="F133" s="1" t="s">
        <v>451</v>
      </c>
      <c r="H133" s="12" t="s">
        <v>286</v>
      </c>
      <c r="I133" s="11" t="s">
        <v>1206</v>
      </c>
      <c r="J133" s="12" t="s">
        <v>316</v>
      </c>
      <c r="K133" s="13">
        <v>24</v>
      </c>
      <c r="L133" s="12">
        <v>768</v>
      </c>
      <c r="M133" s="12">
        <v>1205</v>
      </c>
      <c r="N133" s="12">
        <v>7.98</v>
      </c>
      <c r="O133" s="19" t="s">
        <v>904</v>
      </c>
      <c r="Q133" t="s">
        <v>611</v>
      </c>
    </row>
    <row r="134" spans="3:17" x14ac:dyDescent="0.2">
      <c r="C134" s="1" t="s">
        <v>236</v>
      </c>
      <c r="D134" t="s">
        <v>324</v>
      </c>
      <c r="E134" t="s">
        <v>326</v>
      </c>
      <c r="F134" s="1" t="s">
        <v>452</v>
      </c>
      <c r="H134" s="12" t="s">
        <v>287</v>
      </c>
      <c r="I134" s="11" t="s">
        <v>1207</v>
      </c>
      <c r="J134" s="12" t="s">
        <v>316</v>
      </c>
      <c r="K134" s="13">
        <v>24.8</v>
      </c>
      <c r="L134" s="12">
        <v>816</v>
      </c>
      <c r="M134" s="12">
        <v>1320</v>
      </c>
      <c r="N134" s="12">
        <v>7.98</v>
      </c>
      <c r="O134" s="19" t="s">
        <v>904</v>
      </c>
      <c r="Q134" t="s">
        <v>612</v>
      </c>
    </row>
    <row r="135" spans="3:17" x14ac:dyDescent="0.2">
      <c r="C135" s="1" t="s">
        <v>237</v>
      </c>
      <c r="D135" t="s">
        <v>324</v>
      </c>
      <c r="E135" t="s">
        <v>326</v>
      </c>
      <c r="F135" s="1" t="s">
        <v>453</v>
      </c>
      <c r="H135" s="12" t="s">
        <v>288</v>
      </c>
      <c r="I135" s="11" t="s">
        <v>1208</v>
      </c>
      <c r="J135" s="12" t="s">
        <v>316</v>
      </c>
      <c r="K135" s="13">
        <v>27.5</v>
      </c>
      <c r="L135" s="12">
        <v>1008</v>
      </c>
      <c r="M135" s="12">
        <v>1610</v>
      </c>
      <c r="N135" s="12">
        <v>7.98</v>
      </c>
      <c r="O135" s="19" t="s">
        <v>904</v>
      </c>
      <c r="Q135" t="s">
        <v>613</v>
      </c>
    </row>
    <row r="136" spans="3:17" x14ac:dyDescent="0.2">
      <c r="C136" s="1" t="s">
        <v>238</v>
      </c>
      <c r="D136" t="s">
        <v>324</v>
      </c>
      <c r="E136" t="s">
        <v>326</v>
      </c>
      <c r="F136" s="1" t="s">
        <v>454</v>
      </c>
      <c r="H136" s="12" t="s">
        <v>289</v>
      </c>
      <c r="I136" s="11" t="s">
        <v>1209</v>
      </c>
      <c r="J136" s="12" t="s">
        <v>316</v>
      </c>
      <c r="K136" s="13">
        <v>29.8</v>
      </c>
      <c r="L136" s="12">
        <v>1200</v>
      </c>
      <c r="M136" s="12">
        <v>1885</v>
      </c>
      <c r="N136" s="12">
        <v>7.98</v>
      </c>
      <c r="O136" s="19" t="s">
        <v>904</v>
      </c>
      <c r="Q136" t="s">
        <v>614</v>
      </c>
    </row>
    <row r="137" spans="3:17" x14ac:dyDescent="0.2">
      <c r="C137" s="1" t="s">
        <v>239</v>
      </c>
      <c r="D137" t="s">
        <v>324</v>
      </c>
      <c r="E137" t="s">
        <v>326</v>
      </c>
      <c r="F137" s="1" t="s">
        <v>455</v>
      </c>
      <c r="H137" s="12" t="s">
        <v>290</v>
      </c>
      <c r="I137" s="11" t="s">
        <v>1210</v>
      </c>
      <c r="J137" s="12" t="s">
        <v>316</v>
      </c>
      <c r="K137" s="13">
        <v>32.1</v>
      </c>
      <c r="L137" s="12">
        <v>1464</v>
      </c>
      <c r="M137" s="12">
        <v>2475</v>
      </c>
      <c r="N137" s="12">
        <v>7.98</v>
      </c>
      <c r="O137" s="19" t="s">
        <v>904</v>
      </c>
      <c r="Q137" t="s">
        <v>615</v>
      </c>
    </row>
    <row r="138" spans="3:17" x14ac:dyDescent="0.2">
      <c r="C138" s="1" t="s">
        <v>240</v>
      </c>
      <c r="D138" t="s">
        <v>324</v>
      </c>
      <c r="E138" t="s">
        <v>326</v>
      </c>
      <c r="F138" s="1" t="s">
        <v>456</v>
      </c>
      <c r="H138" s="12" t="s">
        <v>291</v>
      </c>
      <c r="I138" s="11" t="s">
        <v>1211</v>
      </c>
      <c r="J138" s="12" t="s">
        <v>316</v>
      </c>
      <c r="K138" s="13">
        <v>41.1</v>
      </c>
      <c r="L138" s="12">
        <v>2400</v>
      </c>
      <c r="M138" s="12">
        <v>4005</v>
      </c>
      <c r="N138" s="12">
        <v>7.98</v>
      </c>
      <c r="O138" s="19" t="s">
        <v>904</v>
      </c>
      <c r="Q138" t="s">
        <v>616</v>
      </c>
    </row>
    <row r="139" spans="3:17" ht="3.6" customHeight="1" x14ac:dyDescent="0.2">
      <c r="H139" s="15"/>
      <c r="I139" s="16"/>
      <c r="J139" s="15"/>
      <c r="K139" s="17"/>
      <c r="L139" s="15"/>
      <c r="M139" s="15"/>
      <c r="N139" s="15"/>
      <c r="O139" s="20"/>
    </row>
    <row r="140" spans="3:17" x14ac:dyDescent="0.2">
      <c r="C140" s="1" t="s">
        <v>241</v>
      </c>
      <c r="D140" t="s">
        <v>323</v>
      </c>
      <c r="E140" t="s">
        <v>325</v>
      </c>
      <c r="F140" s="1" t="s">
        <v>332</v>
      </c>
      <c r="H140" s="12" t="s">
        <v>292</v>
      </c>
      <c r="I140" s="11" t="s">
        <v>1212</v>
      </c>
      <c r="J140" s="12" t="s">
        <v>317</v>
      </c>
      <c r="K140" s="13">
        <v>9.3000000000000007</v>
      </c>
      <c r="L140" s="13">
        <v>77</v>
      </c>
      <c r="M140" s="12">
        <v>175</v>
      </c>
      <c r="N140" s="12">
        <v>4.95</v>
      </c>
      <c r="O140" s="19">
        <v>89</v>
      </c>
      <c r="Q140" t="s">
        <v>617</v>
      </c>
    </row>
    <row r="141" spans="3:17" x14ac:dyDescent="0.2">
      <c r="C141" s="1" t="s">
        <v>242</v>
      </c>
      <c r="D141" t="s">
        <v>324</v>
      </c>
      <c r="E141" t="s">
        <v>326</v>
      </c>
      <c r="F141" s="1" t="s">
        <v>457</v>
      </c>
      <c r="H141" s="12" t="s">
        <v>293</v>
      </c>
      <c r="I141" s="11" t="s">
        <v>1213</v>
      </c>
      <c r="J141" s="12" t="s">
        <v>317</v>
      </c>
      <c r="K141" s="13">
        <v>10.199999999999999</v>
      </c>
      <c r="L141" s="12">
        <v>115</v>
      </c>
      <c r="M141" s="12">
        <v>210</v>
      </c>
      <c r="N141" s="12">
        <v>4.95</v>
      </c>
      <c r="O141" s="19">
        <v>112.71</v>
      </c>
      <c r="Q141" t="s">
        <v>618</v>
      </c>
    </row>
    <row r="142" spans="3:17" x14ac:dyDescent="0.2">
      <c r="C142" s="1" t="s">
        <v>243</v>
      </c>
      <c r="D142" t="s">
        <v>324</v>
      </c>
      <c r="E142" t="s">
        <v>326</v>
      </c>
      <c r="F142" s="1" t="s">
        <v>458</v>
      </c>
      <c r="H142" s="12" t="s">
        <v>294</v>
      </c>
      <c r="I142" s="11" t="s">
        <v>1214</v>
      </c>
      <c r="J142" s="12" t="s">
        <v>317</v>
      </c>
      <c r="K142" s="13">
        <v>11.1</v>
      </c>
      <c r="L142" s="12">
        <v>154</v>
      </c>
      <c r="M142" s="12">
        <v>270</v>
      </c>
      <c r="N142" s="12">
        <v>4.95</v>
      </c>
      <c r="O142" s="19">
        <v>155.31</v>
      </c>
      <c r="Q142" t="s">
        <v>619</v>
      </c>
    </row>
    <row r="143" spans="3:17" x14ac:dyDescent="0.2">
      <c r="C143" s="1" t="s">
        <v>244</v>
      </c>
      <c r="D143" t="s">
        <v>324</v>
      </c>
      <c r="E143" t="s">
        <v>326</v>
      </c>
      <c r="F143" s="1" t="s">
        <v>459</v>
      </c>
      <c r="H143" s="12" t="s">
        <v>295</v>
      </c>
      <c r="I143" s="11" t="s">
        <v>1215</v>
      </c>
      <c r="J143" s="12" t="s">
        <v>317</v>
      </c>
      <c r="K143" s="13">
        <v>12.4</v>
      </c>
      <c r="L143" s="12">
        <v>192</v>
      </c>
      <c r="M143" s="12">
        <v>300</v>
      </c>
      <c r="N143" s="12">
        <v>4.95</v>
      </c>
      <c r="O143" s="19">
        <v>182.51</v>
      </c>
      <c r="Q143" t="s">
        <v>620</v>
      </c>
    </row>
    <row r="144" spans="3:17" x14ac:dyDescent="0.2">
      <c r="C144" s="1" t="s">
        <v>245</v>
      </c>
      <c r="D144" t="s">
        <v>324</v>
      </c>
      <c r="E144" t="s">
        <v>326</v>
      </c>
      <c r="F144" s="1" t="s">
        <v>460</v>
      </c>
      <c r="H144" s="12" t="s">
        <v>296</v>
      </c>
      <c r="I144" s="11" t="s">
        <v>1216</v>
      </c>
      <c r="J144" s="12" t="s">
        <v>317</v>
      </c>
      <c r="K144" s="13">
        <v>13.7</v>
      </c>
      <c r="L144" s="12">
        <v>269</v>
      </c>
      <c r="M144" s="12">
        <v>410</v>
      </c>
      <c r="N144" s="12">
        <v>4.95</v>
      </c>
      <c r="O144" s="19">
        <v>273.11</v>
      </c>
      <c r="Q144" t="s">
        <v>621</v>
      </c>
    </row>
    <row r="145" spans="3:17" x14ac:dyDescent="0.2">
      <c r="C145" s="1" t="s">
        <v>246</v>
      </c>
      <c r="D145" t="s">
        <v>324</v>
      </c>
      <c r="E145" t="s">
        <v>326</v>
      </c>
      <c r="F145" s="1" t="s">
        <v>461</v>
      </c>
      <c r="H145" s="12" t="s">
        <v>297</v>
      </c>
      <c r="I145" s="11" t="s">
        <v>1217</v>
      </c>
      <c r="J145" s="12" t="s">
        <v>317</v>
      </c>
      <c r="K145" s="13">
        <v>18.100000000000001</v>
      </c>
      <c r="L145" s="12">
        <v>461</v>
      </c>
      <c r="M145" s="12">
        <v>710</v>
      </c>
      <c r="N145" s="12">
        <v>4.95</v>
      </c>
      <c r="O145" s="19">
        <v>480.56</v>
      </c>
      <c r="Q145" t="s">
        <v>622</v>
      </c>
    </row>
    <row r="146" spans="3:17" ht="3.6" customHeight="1" x14ac:dyDescent="0.2">
      <c r="H146" s="15"/>
      <c r="I146" s="16"/>
      <c r="J146" s="15"/>
      <c r="K146" s="17"/>
      <c r="L146" s="15"/>
      <c r="M146" s="15"/>
      <c r="N146" s="15"/>
      <c r="O146" s="20"/>
    </row>
    <row r="147" spans="3:17" x14ac:dyDescent="0.2">
      <c r="C147" s="1" t="s">
        <v>247</v>
      </c>
      <c r="D147" t="s">
        <v>324</v>
      </c>
      <c r="E147" t="s">
        <v>326</v>
      </c>
      <c r="F147" s="1" t="s">
        <v>462</v>
      </c>
      <c r="H147" s="12" t="s">
        <v>298</v>
      </c>
      <c r="I147" s="11" t="s">
        <v>1218</v>
      </c>
      <c r="J147" s="12" t="s">
        <v>318</v>
      </c>
      <c r="K147" s="13">
        <v>11.9</v>
      </c>
      <c r="L147" s="12">
        <v>173</v>
      </c>
      <c r="M147" s="12">
        <v>300</v>
      </c>
      <c r="N147" s="19">
        <v>3.3</v>
      </c>
      <c r="O147" s="19">
        <v>165.91</v>
      </c>
      <c r="Q147" t="s">
        <v>623</v>
      </c>
    </row>
    <row r="148" spans="3:17" x14ac:dyDescent="0.2">
      <c r="C148" s="1" t="s">
        <v>248</v>
      </c>
      <c r="D148" t="s">
        <v>324</v>
      </c>
      <c r="E148" t="s">
        <v>326</v>
      </c>
      <c r="F148" s="1" t="s">
        <v>463</v>
      </c>
      <c r="H148" s="12" t="s">
        <v>299</v>
      </c>
      <c r="I148" s="11" t="s">
        <v>1219</v>
      </c>
      <c r="J148" s="12" t="s">
        <v>318</v>
      </c>
      <c r="K148" s="13">
        <v>13.2</v>
      </c>
      <c r="L148" s="12">
        <v>230</v>
      </c>
      <c r="M148" s="12">
        <v>330</v>
      </c>
      <c r="N148" s="19">
        <v>3.3</v>
      </c>
      <c r="O148" s="19">
        <v>214.62</v>
      </c>
      <c r="Q148" t="s">
        <v>624</v>
      </c>
    </row>
    <row r="149" spans="3:17" x14ac:dyDescent="0.2">
      <c r="C149" s="1" t="s">
        <v>249</v>
      </c>
      <c r="D149" t="s">
        <v>324</v>
      </c>
      <c r="E149" t="s">
        <v>326</v>
      </c>
      <c r="F149" s="1" t="s">
        <v>464</v>
      </c>
      <c r="H149" s="12" t="s">
        <v>300</v>
      </c>
      <c r="I149" s="11" t="s">
        <v>1220</v>
      </c>
      <c r="J149" s="12" t="s">
        <v>318</v>
      </c>
      <c r="K149" s="13">
        <v>14.5</v>
      </c>
      <c r="L149" s="12">
        <v>288</v>
      </c>
      <c r="M149" s="12">
        <v>430</v>
      </c>
      <c r="N149" s="19">
        <v>3.3</v>
      </c>
      <c r="O149" s="19">
        <v>296.74</v>
      </c>
      <c r="Q149" t="s">
        <v>625</v>
      </c>
    </row>
    <row r="150" spans="3:17" x14ac:dyDescent="0.2">
      <c r="C150" s="1" t="s">
        <v>250</v>
      </c>
      <c r="D150" t="s">
        <v>324</v>
      </c>
      <c r="E150" t="s">
        <v>326</v>
      </c>
      <c r="F150" s="1" t="s">
        <v>465</v>
      </c>
      <c r="H150" s="12" t="s">
        <v>301</v>
      </c>
      <c r="I150" s="11" t="s">
        <v>1221</v>
      </c>
      <c r="J150" s="12" t="s">
        <v>318</v>
      </c>
      <c r="K150" s="13">
        <v>16.100000000000001</v>
      </c>
      <c r="L150" s="12">
        <v>403</v>
      </c>
      <c r="M150" s="12">
        <v>600</v>
      </c>
      <c r="N150" s="19">
        <v>3.3</v>
      </c>
      <c r="O150" s="19">
        <v>391.52</v>
      </c>
      <c r="Q150" t="s">
        <v>626</v>
      </c>
    </row>
    <row r="151" spans="3:17" ht="3.6" customHeight="1" x14ac:dyDescent="0.2">
      <c r="H151" s="15"/>
      <c r="I151" s="16"/>
      <c r="J151" s="15"/>
      <c r="K151" s="17"/>
      <c r="L151" s="15"/>
      <c r="M151" s="15"/>
      <c r="N151" s="15"/>
      <c r="O151" s="20"/>
    </row>
    <row r="152" spans="3:17" x14ac:dyDescent="0.2">
      <c r="C152" s="1" t="s">
        <v>251</v>
      </c>
      <c r="D152" t="s">
        <v>324</v>
      </c>
      <c r="E152" t="s">
        <v>326</v>
      </c>
      <c r="F152" s="1" t="s">
        <v>466</v>
      </c>
      <c r="H152" s="12" t="s">
        <v>302</v>
      </c>
      <c r="I152" s="11" t="s">
        <v>1222</v>
      </c>
      <c r="J152" s="12" t="s">
        <v>319</v>
      </c>
      <c r="K152" s="13">
        <v>15</v>
      </c>
      <c r="L152" s="12">
        <v>288</v>
      </c>
      <c r="M152" s="12">
        <v>545</v>
      </c>
      <c r="N152" s="12">
        <v>1.91</v>
      </c>
      <c r="O152" s="19">
        <v>282.26</v>
      </c>
      <c r="Q152" t="s">
        <v>627</v>
      </c>
    </row>
    <row r="153" spans="3:17" x14ac:dyDescent="0.2">
      <c r="C153" s="1" t="s">
        <v>252</v>
      </c>
      <c r="D153" t="s">
        <v>324</v>
      </c>
      <c r="E153" t="s">
        <v>326</v>
      </c>
      <c r="F153" s="1" t="s">
        <v>467</v>
      </c>
      <c r="H153" s="12" t="s">
        <v>303</v>
      </c>
      <c r="I153" s="11" t="s">
        <v>1223</v>
      </c>
      <c r="J153" s="12" t="s">
        <v>319</v>
      </c>
      <c r="K153" s="13">
        <v>16.600000000000001</v>
      </c>
      <c r="L153" s="12">
        <v>384</v>
      </c>
      <c r="M153" s="12">
        <v>750</v>
      </c>
      <c r="N153" s="12">
        <v>1.91</v>
      </c>
      <c r="O153" s="19">
        <v>363.56</v>
      </c>
      <c r="Q153" t="s">
        <v>628</v>
      </c>
    </row>
    <row r="154" spans="3:17" x14ac:dyDescent="0.2">
      <c r="C154" s="1" t="s">
        <v>253</v>
      </c>
      <c r="D154" t="s">
        <v>324</v>
      </c>
      <c r="E154" t="s">
        <v>326</v>
      </c>
      <c r="F154" s="1" t="s">
        <v>468</v>
      </c>
      <c r="H154" s="12" t="s">
        <v>304</v>
      </c>
      <c r="I154" s="11" t="s">
        <v>1224</v>
      </c>
      <c r="J154" s="12" t="s">
        <v>319</v>
      </c>
      <c r="K154" s="13">
        <v>18.399999999999999</v>
      </c>
      <c r="L154" s="12">
        <v>480</v>
      </c>
      <c r="M154" s="12">
        <v>930</v>
      </c>
      <c r="N154" s="12">
        <v>1.91</v>
      </c>
      <c r="O154" s="19">
        <v>477.55</v>
      </c>
      <c r="Q154" t="s">
        <v>629</v>
      </c>
    </row>
    <row r="155" spans="3:17" x14ac:dyDescent="0.2">
      <c r="C155" s="1" t="s">
        <v>254</v>
      </c>
      <c r="D155" t="s">
        <v>324</v>
      </c>
      <c r="E155" t="s">
        <v>326</v>
      </c>
      <c r="F155" s="1" t="s">
        <v>469</v>
      </c>
      <c r="H155" s="12" t="s">
        <v>305</v>
      </c>
      <c r="I155" s="11" t="s">
        <v>1225</v>
      </c>
      <c r="J155" s="12" t="s">
        <v>319</v>
      </c>
      <c r="K155" s="13">
        <v>20.3</v>
      </c>
      <c r="L155" s="12">
        <v>672</v>
      </c>
      <c r="M155" s="12">
        <v>1105</v>
      </c>
      <c r="N155" s="12">
        <v>1.91</v>
      </c>
      <c r="O155" s="19">
        <v>660.65</v>
      </c>
      <c r="Q155" t="s">
        <v>630</v>
      </c>
    </row>
    <row r="156" spans="3:17" ht="3.6" customHeight="1" x14ac:dyDescent="0.2">
      <c r="H156" s="15"/>
      <c r="I156" s="16"/>
      <c r="J156" s="15"/>
      <c r="K156" s="17"/>
      <c r="L156" s="15"/>
      <c r="M156" s="15"/>
      <c r="N156" s="15"/>
      <c r="O156" s="20"/>
    </row>
    <row r="157" spans="3:17" x14ac:dyDescent="0.2">
      <c r="C157" s="1" t="s">
        <v>255</v>
      </c>
      <c r="D157" t="s">
        <v>324</v>
      </c>
      <c r="E157" t="s">
        <v>326</v>
      </c>
      <c r="F157" s="1" t="s">
        <v>470</v>
      </c>
      <c r="H157" s="12" t="s">
        <v>306</v>
      </c>
      <c r="I157" s="11" t="s">
        <v>1226</v>
      </c>
      <c r="J157" s="12" t="s">
        <v>320</v>
      </c>
      <c r="K157" s="13">
        <v>16.8</v>
      </c>
      <c r="L157" s="12">
        <v>461</v>
      </c>
      <c r="M157" s="12">
        <v>830</v>
      </c>
      <c r="N157" s="12">
        <v>1.21</v>
      </c>
      <c r="O157" s="19">
        <v>424</v>
      </c>
      <c r="Q157" t="s">
        <v>631</v>
      </c>
    </row>
    <row r="158" spans="3:17" x14ac:dyDescent="0.2">
      <c r="C158" s="1" t="s">
        <v>256</v>
      </c>
      <c r="D158" t="s">
        <v>324</v>
      </c>
      <c r="E158" t="s">
        <v>326</v>
      </c>
      <c r="F158" s="1" t="s">
        <v>471</v>
      </c>
      <c r="H158" s="12" t="s">
        <v>307</v>
      </c>
      <c r="I158" s="11" t="s">
        <v>1227</v>
      </c>
      <c r="J158" s="12" t="s">
        <v>320</v>
      </c>
      <c r="K158" s="13">
        <v>19.2</v>
      </c>
      <c r="L158" s="12">
        <v>614</v>
      </c>
      <c r="M158" s="12">
        <v>1050</v>
      </c>
      <c r="N158" s="12">
        <v>1.21</v>
      </c>
      <c r="O158" s="19">
        <v>560.02</v>
      </c>
      <c r="Q158" t="s">
        <v>632</v>
      </c>
    </row>
    <row r="159" spans="3:17" x14ac:dyDescent="0.2">
      <c r="C159" s="1" t="s">
        <v>257</v>
      </c>
      <c r="D159" t="s">
        <v>324</v>
      </c>
      <c r="E159" t="s">
        <v>326</v>
      </c>
      <c r="F159" s="1" t="s">
        <v>472</v>
      </c>
      <c r="H159" s="12" t="s">
        <v>308</v>
      </c>
      <c r="I159" s="11" t="s">
        <v>1228</v>
      </c>
      <c r="J159" s="12" t="s">
        <v>320</v>
      </c>
      <c r="K159" s="13">
        <v>21.6</v>
      </c>
      <c r="L159" s="12">
        <v>768</v>
      </c>
      <c r="M159" s="12">
        <v>1300</v>
      </c>
      <c r="N159" s="12">
        <v>1.21</v>
      </c>
      <c r="O159" s="19">
        <v>729.96</v>
      </c>
      <c r="Q159" t="s">
        <v>633</v>
      </c>
    </row>
    <row r="160" spans="3:17" x14ac:dyDescent="0.2">
      <c r="C160" s="1" t="s">
        <v>258</v>
      </c>
      <c r="D160" t="s">
        <v>324</v>
      </c>
      <c r="E160" t="s">
        <v>326</v>
      </c>
      <c r="F160" s="1" t="s">
        <v>473</v>
      </c>
      <c r="H160" s="12" t="s">
        <v>309</v>
      </c>
      <c r="I160" s="11" t="s">
        <v>1229</v>
      </c>
      <c r="J160" s="12" t="s">
        <v>320</v>
      </c>
      <c r="K160" s="13">
        <v>23.8</v>
      </c>
      <c r="L160" s="12">
        <v>1075</v>
      </c>
      <c r="M160" s="12">
        <v>1735</v>
      </c>
      <c r="N160" s="12">
        <v>1.21</v>
      </c>
      <c r="O160" s="19">
        <v>1073.8800000000001</v>
      </c>
      <c r="Q160" t="s">
        <v>634</v>
      </c>
    </row>
    <row r="161" spans="3:17" ht="3.6" customHeight="1" x14ac:dyDescent="0.2">
      <c r="H161" s="15"/>
      <c r="I161" s="16"/>
      <c r="J161" s="15"/>
      <c r="K161" s="17"/>
      <c r="L161" s="15"/>
      <c r="M161" s="15"/>
      <c r="N161" s="15"/>
      <c r="O161" s="20"/>
    </row>
    <row r="162" spans="3:17" x14ac:dyDescent="0.2">
      <c r="C162" s="1" t="s">
        <v>259</v>
      </c>
      <c r="D162" t="s">
        <v>324</v>
      </c>
      <c r="E162" t="s">
        <v>326</v>
      </c>
      <c r="F162" s="1" t="s">
        <v>474</v>
      </c>
      <c r="H162" s="12" t="s">
        <v>310</v>
      </c>
      <c r="I162" s="11" t="s">
        <v>1230</v>
      </c>
      <c r="J162" s="12" t="s">
        <v>321</v>
      </c>
      <c r="K162" s="13">
        <v>22.8</v>
      </c>
      <c r="L162" s="12">
        <v>720</v>
      </c>
      <c r="M162" s="12">
        <v>1065</v>
      </c>
      <c r="N162" s="37">
        <v>0.78</v>
      </c>
      <c r="O162" s="19">
        <v>654</v>
      </c>
      <c r="Q162" t="s">
        <v>635</v>
      </c>
    </row>
    <row r="163" spans="3:17" x14ac:dyDescent="0.2">
      <c r="C163" s="1" t="s">
        <v>260</v>
      </c>
      <c r="D163" t="s">
        <v>324</v>
      </c>
      <c r="E163" t="s">
        <v>326</v>
      </c>
      <c r="F163" s="1" t="s">
        <v>475</v>
      </c>
      <c r="H163" s="12" t="s">
        <v>311</v>
      </c>
      <c r="I163" s="11" t="s">
        <v>1231</v>
      </c>
      <c r="J163" s="12" t="s">
        <v>321</v>
      </c>
      <c r="K163" s="13">
        <v>23.9</v>
      </c>
      <c r="L163" s="12">
        <v>960</v>
      </c>
      <c r="M163" s="12">
        <v>1675</v>
      </c>
      <c r="N163" s="37">
        <v>0.78</v>
      </c>
      <c r="O163" s="19">
        <v>866.43</v>
      </c>
      <c r="Q163" t="s">
        <v>636</v>
      </c>
    </row>
    <row r="164" spans="3:17" x14ac:dyDescent="0.2">
      <c r="C164" s="1" t="s">
        <v>261</v>
      </c>
      <c r="D164" t="s">
        <v>324</v>
      </c>
      <c r="E164" t="s">
        <v>326</v>
      </c>
      <c r="F164" s="1" t="s">
        <v>476</v>
      </c>
      <c r="H164" s="12" t="s">
        <v>312</v>
      </c>
      <c r="I164" s="11" t="s">
        <v>1232</v>
      </c>
      <c r="J164" s="12" t="s">
        <v>321</v>
      </c>
      <c r="K164" s="13">
        <v>26.8</v>
      </c>
      <c r="L164" s="12">
        <v>1200</v>
      </c>
      <c r="M164" s="12">
        <v>2100</v>
      </c>
      <c r="N164" s="37">
        <v>0.78</v>
      </c>
      <c r="O164" s="19">
        <v>1109.24</v>
      </c>
      <c r="Q164" t="s">
        <v>637</v>
      </c>
    </row>
    <row r="165" spans="3:17" x14ac:dyDescent="0.2">
      <c r="C165" s="1" t="s">
        <v>262</v>
      </c>
      <c r="D165" t="s">
        <v>324</v>
      </c>
      <c r="E165" t="s">
        <v>326</v>
      </c>
      <c r="F165" s="1" t="s">
        <v>477</v>
      </c>
      <c r="H165" s="12" t="s">
        <v>313</v>
      </c>
      <c r="I165" s="11" t="s">
        <v>1233</v>
      </c>
      <c r="J165" s="12" t="s">
        <v>321</v>
      </c>
      <c r="K165" s="13">
        <v>31</v>
      </c>
      <c r="L165" s="12">
        <v>1680</v>
      </c>
      <c r="M165" s="12">
        <v>2705</v>
      </c>
      <c r="N165" s="37">
        <v>0.78</v>
      </c>
      <c r="O165" s="19" t="s">
        <v>904</v>
      </c>
      <c r="Q165" t="s">
        <v>638</v>
      </c>
    </row>
    <row r="166" spans="3:17" ht="3.6" customHeight="1" x14ac:dyDescent="0.2">
      <c r="H166" s="15"/>
      <c r="I166" s="16"/>
      <c r="J166" s="15"/>
      <c r="K166" s="17"/>
      <c r="L166" s="15"/>
      <c r="M166" s="15"/>
      <c r="N166" s="15"/>
      <c r="O166" s="20"/>
    </row>
    <row r="167" spans="3:17" x14ac:dyDescent="0.2">
      <c r="C167" s="1" t="s">
        <v>263</v>
      </c>
      <c r="D167" t="s">
        <v>324</v>
      </c>
      <c r="E167" t="s">
        <v>326</v>
      </c>
      <c r="F167" s="1" t="s">
        <v>478</v>
      </c>
      <c r="H167" s="12" t="s">
        <v>314</v>
      </c>
      <c r="I167" s="11" t="s">
        <v>1234</v>
      </c>
      <c r="J167" s="12" t="s">
        <v>322</v>
      </c>
      <c r="K167" s="13">
        <v>28.4</v>
      </c>
      <c r="L167" s="12">
        <v>1344</v>
      </c>
      <c r="M167" s="12">
        <v>2050</v>
      </c>
      <c r="N167" s="12">
        <v>0.55400000000000005</v>
      </c>
      <c r="O167" s="19">
        <v>1289.1199999999999</v>
      </c>
      <c r="Q167" t="s">
        <v>639</v>
      </c>
    </row>
    <row r="168" spans="3:17" x14ac:dyDescent="0.2">
      <c r="C168" s="1" t="s">
        <v>264</v>
      </c>
      <c r="D168" t="s">
        <v>324</v>
      </c>
      <c r="E168" t="s">
        <v>326</v>
      </c>
      <c r="F168" s="1" t="s">
        <v>479</v>
      </c>
      <c r="H168" s="12" t="s">
        <v>315</v>
      </c>
      <c r="I168" s="11" t="s">
        <v>1235</v>
      </c>
      <c r="J168" s="12" t="s">
        <v>322</v>
      </c>
      <c r="K168" s="13">
        <v>32.1</v>
      </c>
      <c r="L168" s="12">
        <v>1680</v>
      </c>
      <c r="M168" s="12">
        <v>2635</v>
      </c>
      <c r="N168" s="12">
        <v>0.55400000000000005</v>
      </c>
      <c r="O168" s="19">
        <v>1593.62</v>
      </c>
      <c r="Q168" t="s">
        <v>640</v>
      </c>
    </row>
  </sheetData>
  <mergeCells count="1">
    <mergeCell ref="I4:I5"/>
  </mergeCells>
  <pageMargins left="0.17" right="0.17" top="0.24" bottom="0.17" header="0.3" footer="0.3"/>
  <pageSetup scale="85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B3B2-2A21-4B05-BB81-D0B1F814CA5E}">
  <sheetPr>
    <tabColor rgb="FF00B0F0"/>
  </sheetPr>
  <dimension ref="C1:Q168"/>
  <sheetViews>
    <sheetView topLeftCell="G1" zoomScale="85" zoomScaleNormal="85" workbookViewId="0">
      <selection activeCell="K6" sqref="K6:O168"/>
    </sheetView>
  </sheetViews>
  <sheetFormatPr defaultRowHeight="14.25" x14ac:dyDescent="0.2"/>
  <cols>
    <col min="1" max="2" width="0" hidden="1" customWidth="1"/>
    <col min="3" max="3" width="13.125" style="1" hidden="1" customWidth="1"/>
    <col min="4" max="4" width="20.375" hidden="1" customWidth="1"/>
    <col min="5" max="5" width="7" hidden="1" customWidth="1"/>
    <col min="6" max="6" width="14.375" style="1" hidden="1" customWidth="1"/>
    <col min="7" max="7" width="4.75" style="1" customWidth="1"/>
    <col min="8" max="8" width="14.375" style="1" customWidth="1"/>
    <col min="9" max="9" width="30.625" style="1" customWidth="1"/>
    <col min="10" max="10" width="19" style="1" customWidth="1"/>
    <col min="11" max="11" width="9.375" style="3" bestFit="1" customWidth="1"/>
    <col min="12" max="13" width="9.75" style="1" bestFit="1" customWidth="1"/>
    <col min="14" max="14" width="17.875" style="1" bestFit="1" customWidth="1"/>
    <col min="15" max="15" width="14.75" style="21" customWidth="1"/>
    <col min="16" max="16" width="17.875" style="1" customWidth="1"/>
    <col min="17" max="17" width="50.125" customWidth="1"/>
  </cols>
  <sheetData>
    <row r="1" spans="3:17" x14ac:dyDescent="0.2">
      <c r="K1" s="1"/>
    </row>
    <row r="2" spans="3:17" x14ac:dyDescent="0.2">
      <c r="I2" s="34" t="s">
        <v>644</v>
      </c>
      <c r="K2" s="1"/>
      <c r="O2" s="22" t="s">
        <v>806</v>
      </c>
    </row>
    <row r="3" spans="3:17" x14ac:dyDescent="0.2">
      <c r="K3" s="1"/>
    </row>
    <row r="4" spans="3:17" s="5" customFormat="1" ht="20.45" customHeight="1" x14ac:dyDescent="0.2">
      <c r="C4" s="4" t="s">
        <v>131</v>
      </c>
      <c r="F4" s="4"/>
      <c r="G4" s="4"/>
      <c r="H4" s="6" t="s">
        <v>164</v>
      </c>
      <c r="I4" s="38" t="s">
        <v>480</v>
      </c>
      <c r="J4" s="6" t="s">
        <v>486</v>
      </c>
      <c r="K4" s="7" t="s">
        <v>170</v>
      </c>
      <c r="L4" s="6" t="s">
        <v>481</v>
      </c>
      <c r="M4" s="6" t="s">
        <v>482</v>
      </c>
      <c r="N4" s="6" t="s">
        <v>172</v>
      </c>
      <c r="O4" s="6" t="s">
        <v>913</v>
      </c>
      <c r="P4" s="1"/>
    </row>
    <row r="5" spans="3:17" s="5" customFormat="1" ht="20.45" customHeight="1" x14ac:dyDescent="0.2">
      <c r="C5" s="4"/>
      <c r="F5" s="4"/>
      <c r="G5" s="4"/>
      <c r="H5" s="8" t="s">
        <v>484</v>
      </c>
      <c r="I5" s="39"/>
      <c r="J5" s="8" t="s">
        <v>169</v>
      </c>
      <c r="K5" s="9" t="s">
        <v>483</v>
      </c>
      <c r="L5" s="8" t="s">
        <v>171</v>
      </c>
      <c r="M5" s="8" t="s">
        <v>171</v>
      </c>
      <c r="N5" s="10" t="s">
        <v>485</v>
      </c>
      <c r="O5" s="24" t="s">
        <v>914</v>
      </c>
      <c r="P5" s="1"/>
      <c r="Q5" s="14" t="s">
        <v>807</v>
      </c>
    </row>
    <row r="6" spans="3:17" x14ac:dyDescent="0.2">
      <c r="C6" s="1" t="s">
        <v>85</v>
      </c>
      <c r="D6" t="s">
        <v>323</v>
      </c>
      <c r="E6" t="s">
        <v>325</v>
      </c>
      <c r="F6" s="2" t="s">
        <v>327</v>
      </c>
      <c r="G6" s="2"/>
      <c r="H6" s="12" t="s">
        <v>165</v>
      </c>
      <c r="I6" s="11" t="s">
        <v>930</v>
      </c>
      <c r="J6" s="12" t="s">
        <v>24</v>
      </c>
      <c r="K6" s="13">
        <v>4.9000000000000004</v>
      </c>
      <c r="L6" s="13">
        <v>9.6</v>
      </c>
      <c r="M6" s="12">
        <v>38</v>
      </c>
      <c r="N6" s="13">
        <v>39</v>
      </c>
      <c r="O6" s="19">
        <v>14.44</v>
      </c>
      <c r="Q6" t="s">
        <v>488</v>
      </c>
    </row>
    <row r="7" spans="3:17" x14ac:dyDescent="0.2">
      <c r="C7" s="1" t="s">
        <v>86</v>
      </c>
      <c r="D7" t="s">
        <v>324</v>
      </c>
      <c r="E7" t="s">
        <v>326</v>
      </c>
      <c r="F7" s="1" t="s">
        <v>333</v>
      </c>
      <c r="H7" s="12" t="s">
        <v>0</v>
      </c>
      <c r="I7" s="11" t="s">
        <v>931</v>
      </c>
      <c r="J7" s="12" t="s">
        <v>24</v>
      </c>
      <c r="K7" s="13">
        <v>5.2</v>
      </c>
      <c r="L7" s="13">
        <v>14.4</v>
      </c>
      <c r="M7" s="12">
        <v>47</v>
      </c>
      <c r="N7" s="13">
        <v>39</v>
      </c>
      <c r="O7" s="19">
        <v>19.54</v>
      </c>
      <c r="Q7" t="s">
        <v>489</v>
      </c>
    </row>
    <row r="8" spans="3:17" x14ac:dyDescent="0.2">
      <c r="C8" s="1" t="s">
        <v>87</v>
      </c>
      <c r="D8" t="s">
        <v>324</v>
      </c>
      <c r="E8" t="s">
        <v>326</v>
      </c>
      <c r="F8" s="1" t="s">
        <v>334</v>
      </c>
      <c r="H8" s="12" t="s">
        <v>1</v>
      </c>
      <c r="I8" s="11" t="s">
        <v>932</v>
      </c>
      <c r="J8" s="12" t="s">
        <v>24</v>
      </c>
      <c r="K8" s="13">
        <v>5.7</v>
      </c>
      <c r="L8" s="13">
        <v>19.2</v>
      </c>
      <c r="M8" s="12">
        <v>58</v>
      </c>
      <c r="N8" s="13">
        <v>39</v>
      </c>
      <c r="O8" s="19">
        <v>24.37</v>
      </c>
      <c r="Q8" t="s">
        <v>490</v>
      </c>
    </row>
    <row r="9" spans="3:17" x14ac:dyDescent="0.2">
      <c r="C9" s="1" t="s">
        <v>88</v>
      </c>
      <c r="D9" t="s">
        <v>324</v>
      </c>
      <c r="E9" t="s">
        <v>326</v>
      </c>
      <c r="F9" s="1" t="s">
        <v>335</v>
      </c>
      <c r="H9" s="12" t="s">
        <v>3</v>
      </c>
      <c r="I9" s="11" t="s">
        <v>933</v>
      </c>
      <c r="J9" s="12" t="s">
        <v>24</v>
      </c>
      <c r="K9" s="13">
        <v>6</v>
      </c>
      <c r="L9" s="13">
        <v>24</v>
      </c>
      <c r="M9" s="12">
        <v>75</v>
      </c>
      <c r="N9" s="13">
        <v>39</v>
      </c>
      <c r="O9" s="19">
        <v>30.34</v>
      </c>
      <c r="Q9" t="s">
        <v>491</v>
      </c>
    </row>
    <row r="10" spans="3:17" x14ac:dyDescent="0.2">
      <c r="C10" s="1" t="s">
        <v>89</v>
      </c>
      <c r="D10" t="s">
        <v>324</v>
      </c>
      <c r="E10" t="s">
        <v>326</v>
      </c>
      <c r="F10" s="1" t="s">
        <v>336</v>
      </c>
      <c r="H10" s="12" t="s">
        <v>2</v>
      </c>
      <c r="I10" s="11" t="s">
        <v>934</v>
      </c>
      <c r="J10" s="12" t="s">
        <v>24</v>
      </c>
      <c r="K10" s="13">
        <v>6.5</v>
      </c>
      <c r="L10" s="13">
        <v>28.8</v>
      </c>
      <c r="M10" s="12">
        <v>89</v>
      </c>
      <c r="N10" s="13">
        <v>39</v>
      </c>
      <c r="O10" s="19">
        <v>40</v>
      </c>
      <c r="Q10" t="s">
        <v>492</v>
      </c>
    </row>
    <row r="11" spans="3:17" x14ac:dyDescent="0.2">
      <c r="C11" s="1" t="s">
        <v>90</v>
      </c>
      <c r="D11" t="s">
        <v>324</v>
      </c>
      <c r="E11" t="s">
        <v>326</v>
      </c>
      <c r="F11" s="1" t="s">
        <v>337</v>
      </c>
      <c r="H11" s="12" t="s">
        <v>4</v>
      </c>
      <c r="I11" s="11" t="s">
        <v>935</v>
      </c>
      <c r="J11" s="12" t="s">
        <v>24</v>
      </c>
      <c r="K11" s="13">
        <v>7.1</v>
      </c>
      <c r="L11" s="13">
        <v>33.6</v>
      </c>
      <c r="M11" s="12">
        <v>93</v>
      </c>
      <c r="N11" s="13">
        <v>39</v>
      </c>
      <c r="O11" s="19">
        <v>44.58</v>
      </c>
      <c r="Q11" t="s">
        <v>493</v>
      </c>
    </row>
    <row r="12" spans="3:17" x14ac:dyDescent="0.2">
      <c r="C12" s="1" t="s">
        <v>91</v>
      </c>
      <c r="D12" t="s">
        <v>324</v>
      </c>
      <c r="E12" t="s">
        <v>326</v>
      </c>
      <c r="F12" s="1" t="s">
        <v>338</v>
      </c>
      <c r="H12" s="12" t="s">
        <v>5</v>
      </c>
      <c r="I12" s="11" t="s">
        <v>936</v>
      </c>
      <c r="J12" s="12" t="s">
        <v>24</v>
      </c>
      <c r="K12" s="13">
        <v>7.7</v>
      </c>
      <c r="L12" s="13">
        <v>38.4</v>
      </c>
      <c r="M12" s="12">
        <v>110</v>
      </c>
      <c r="N12" s="13">
        <v>39</v>
      </c>
      <c r="O12" s="19">
        <v>51.4</v>
      </c>
      <c r="Q12" t="s">
        <v>494</v>
      </c>
    </row>
    <row r="13" spans="3:17" x14ac:dyDescent="0.2">
      <c r="C13" s="1" t="s">
        <v>92</v>
      </c>
      <c r="D13" t="s">
        <v>324</v>
      </c>
      <c r="E13" t="s">
        <v>326</v>
      </c>
      <c r="F13" s="1" t="s">
        <v>339</v>
      </c>
      <c r="H13" s="12" t="s">
        <v>6</v>
      </c>
      <c r="I13" s="11" t="s">
        <v>937</v>
      </c>
      <c r="J13" s="12" t="s">
        <v>24</v>
      </c>
      <c r="K13" s="13">
        <v>8.6</v>
      </c>
      <c r="L13" s="13">
        <v>48</v>
      </c>
      <c r="M13" s="12">
        <v>140</v>
      </c>
      <c r="N13" s="13">
        <v>39</v>
      </c>
      <c r="O13" s="19">
        <v>64.42</v>
      </c>
      <c r="Q13" t="s">
        <v>495</v>
      </c>
    </row>
    <row r="14" spans="3:17" x14ac:dyDescent="0.2">
      <c r="C14" s="1" t="s">
        <v>93</v>
      </c>
      <c r="D14" t="s">
        <v>324</v>
      </c>
      <c r="E14" t="s">
        <v>326</v>
      </c>
      <c r="F14" s="1" t="s">
        <v>340</v>
      </c>
      <c r="H14" s="12" t="s">
        <v>7</v>
      </c>
      <c r="I14" s="11" t="s">
        <v>938</v>
      </c>
      <c r="J14" s="12" t="s">
        <v>24</v>
      </c>
      <c r="K14" s="13">
        <v>9.1</v>
      </c>
      <c r="L14" s="13">
        <v>58</v>
      </c>
      <c r="M14" s="12">
        <v>150</v>
      </c>
      <c r="N14" s="13">
        <v>39</v>
      </c>
      <c r="O14" s="19">
        <v>75.540000000000006</v>
      </c>
      <c r="Q14" t="s">
        <v>496</v>
      </c>
    </row>
    <row r="15" spans="3:17" x14ac:dyDescent="0.2">
      <c r="C15" s="1" t="s">
        <v>132</v>
      </c>
      <c r="D15" t="s">
        <v>324</v>
      </c>
      <c r="E15" t="s">
        <v>326</v>
      </c>
      <c r="F15" s="1" t="s">
        <v>341</v>
      </c>
      <c r="H15" s="12" t="s">
        <v>8</v>
      </c>
      <c r="I15" s="11" t="s">
        <v>939</v>
      </c>
      <c r="J15" s="12" t="s">
        <v>24</v>
      </c>
      <c r="K15" s="13">
        <v>9.3000000000000007</v>
      </c>
      <c r="L15" s="13">
        <v>67</v>
      </c>
      <c r="M15" s="12">
        <v>170</v>
      </c>
      <c r="N15" s="13">
        <v>39</v>
      </c>
      <c r="O15" s="19">
        <v>90.65</v>
      </c>
      <c r="Q15" t="s">
        <v>497</v>
      </c>
    </row>
    <row r="16" spans="3:17" x14ac:dyDescent="0.2">
      <c r="C16" s="1" t="s">
        <v>133</v>
      </c>
      <c r="D16" t="s">
        <v>324</v>
      </c>
      <c r="E16" t="s">
        <v>326</v>
      </c>
      <c r="F16" s="1" t="s">
        <v>342</v>
      </c>
      <c r="H16" s="12" t="s">
        <v>9</v>
      </c>
      <c r="I16" s="11" t="s">
        <v>940</v>
      </c>
      <c r="J16" s="12" t="s">
        <v>24</v>
      </c>
      <c r="K16" s="13">
        <v>10.4</v>
      </c>
      <c r="L16" s="13">
        <v>77</v>
      </c>
      <c r="M16" s="12">
        <v>195</v>
      </c>
      <c r="N16" s="13">
        <v>39</v>
      </c>
      <c r="O16" s="19">
        <v>101.46</v>
      </c>
      <c r="Q16" t="s">
        <v>498</v>
      </c>
    </row>
    <row r="17" spans="3:17" x14ac:dyDescent="0.2">
      <c r="C17" s="1" t="s">
        <v>134</v>
      </c>
      <c r="D17" t="s">
        <v>324</v>
      </c>
      <c r="E17" t="s">
        <v>326</v>
      </c>
      <c r="F17" s="1" t="s">
        <v>343</v>
      </c>
      <c r="H17" s="12" t="s">
        <v>10</v>
      </c>
      <c r="I17" s="11" t="s">
        <v>941</v>
      </c>
      <c r="J17" s="12" t="s">
        <v>24</v>
      </c>
      <c r="K17" s="13">
        <v>10.8</v>
      </c>
      <c r="L17" s="13">
        <v>86</v>
      </c>
      <c r="M17" s="12">
        <v>215</v>
      </c>
      <c r="N17" s="13">
        <v>39</v>
      </c>
      <c r="O17" s="19">
        <v>113.29</v>
      </c>
      <c r="Q17" t="s">
        <v>499</v>
      </c>
    </row>
    <row r="18" spans="3:17" x14ac:dyDescent="0.2">
      <c r="C18" s="1" t="s">
        <v>135</v>
      </c>
      <c r="D18" t="s">
        <v>324</v>
      </c>
      <c r="E18" t="s">
        <v>326</v>
      </c>
      <c r="F18" s="1" t="s">
        <v>344</v>
      </c>
      <c r="H18" s="12" t="s">
        <v>11</v>
      </c>
      <c r="I18" s="11" t="s">
        <v>942</v>
      </c>
      <c r="J18" s="12" t="s">
        <v>24</v>
      </c>
      <c r="K18" s="13">
        <v>11.8</v>
      </c>
      <c r="L18" s="13">
        <v>96</v>
      </c>
      <c r="M18" s="12">
        <v>230</v>
      </c>
      <c r="N18" s="13">
        <v>39</v>
      </c>
      <c r="O18" s="19">
        <v>123.86</v>
      </c>
      <c r="Q18" t="s">
        <v>500</v>
      </c>
    </row>
    <row r="19" spans="3:17" x14ac:dyDescent="0.2">
      <c r="C19" s="1" t="s">
        <v>136</v>
      </c>
      <c r="D19" t="s">
        <v>324</v>
      </c>
      <c r="E19" t="s">
        <v>326</v>
      </c>
      <c r="F19" s="1" t="s">
        <v>345</v>
      </c>
      <c r="H19" s="12" t="s">
        <v>12</v>
      </c>
      <c r="I19" s="11" t="s">
        <v>943</v>
      </c>
      <c r="J19" s="12" t="s">
        <v>24</v>
      </c>
      <c r="K19" s="13">
        <v>12</v>
      </c>
      <c r="L19" s="12">
        <v>101</v>
      </c>
      <c r="M19" s="12">
        <v>245</v>
      </c>
      <c r="N19" s="13">
        <v>39</v>
      </c>
      <c r="O19" s="19">
        <v>135.44</v>
      </c>
      <c r="Q19" t="s">
        <v>501</v>
      </c>
    </row>
    <row r="20" spans="3:17" x14ac:dyDescent="0.2">
      <c r="C20" s="1" t="s">
        <v>137</v>
      </c>
      <c r="D20" t="s">
        <v>324</v>
      </c>
      <c r="E20" t="s">
        <v>326</v>
      </c>
      <c r="F20" s="1" t="s">
        <v>346</v>
      </c>
      <c r="H20" s="12" t="s">
        <v>13</v>
      </c>
      <c r="I20" s="11" t="s">
        <v>944</v>
      </c>
      <c r="J20" s="12" t="s">
        <v>24</v>
      </c>
      <c r="K20" s="13">
        <v>12.8</v>
      </c>
      <c r="L20" s="12">
        <v>120</v>
      </c>
      <c r="M20" s="12">
        <v>280</v>
      </c>
      <c r="N20" s="13">
        <v>39</v>
      </c>
      <c r="O20" s="19">
        <v>152.66</v>
      </c>
      <c r="Q20" t="s">
        <v>502</v>
      </c>
    </row>
    <row r="21" spans="3:17" x14ac:dyDescent="0.2">
      <c r="C21" s="1" t="s">
        <v>138</v>
      </c>
      <c r="D21" t="s">
        <v>324</v>
      </c>
      <c r="E21" t="s">
        <v>326</v>
      </c>
      <c r="F21" s="1" t="s">
        <v>347</v>
      </c>
      <c r="H21" s="12" t="s">
        <v>14</v>
      </c>
      <c r="I21" s="11" t="s">
        <v>945</v>
      </c>
      <c r="J21" s="12" t="s">
        <v>24</v>
      </c>
      <c r="K21" s="13">
        <v>13.7</v>
      </c>
      <c r="L21" s="12">
        <v>144</v>
      </c>
      <c r="M21" s="12">
        <v>310</v>
      </c>
      <c r="N21" s="13">
        <v>39</v>
      </c>
      <c r="O21" s="19">
        <v>184.45</v>
      </c>
      <c r="Q21" t="s">
        <v>503</v>
      </c>
    </row>
    <row r="22" spans="3:17" x14ac:dyDescent="0.2">
      <c r="C22" s="1" t="s">
        <v>139</v>
      </c>
      <c r="D22" t="s">
        <v>324</v>
      </c>
      <c r="E22" t="s">
        <v>326</v>
      </c>
      <c r="F22" s="1" t="s">
        <v>348</v>
      </c>
      <c r="H22" s="12" t="s">
        <v>166</v>
      </c>
      <c r="I22" s="11" t="s">
        <v>946</v>
      </c>
      <c r="J22" s="12" t="s">
        <v>24</v>
      </c>
      <c r="K22" s="13">
        <v>14</v>
      </c>
      <c r="L22" s="12">
        <v>154</v>
      </c>
      <c r="M22" s="12">
        <v>345</v>
      </c>
      <c r="N22" s="13">
        <v>39</v>
      </c>
      <c r="O22" s="19">
        <v>199</v>
      </c>
      <c r="Q22" t="s">
        <v>504</v>
      </c>
    </row>
    <row r="23" spans="3:17" x14ac:dyDescent="0.2">
      <c r="C23" s="1" t="s">
        <v>140</v>
      </c>
      <c r="D23" t="s">
        <v>324</v>
      </c>
      <c r="E23" t="s">
        <v>326</v>
      </c>
      <c r="F23" s="1" t="s">
        <v>349</v>
      </c>
      <c r="H23" s="12" t="s">
        <v>15</v>
      </c>
      <c r="I23" s="11" t="s">
        <v>947</v>
      </c>
      <c r="J23" s="12" t="s">
        <v>24</v>
      </c>
      <c r="K23" s="13">
        <v>14.9</v>
      </c>
      <c r="L23" s="12">
        <v>168</v>
      </c>
      <c r="M23" s="12">
        <v>390</v>
      </c>
      <c r="N23" s="13">
        <v>39</v>
      </c>
      <c r="O23" s="19">
        <f>35/34*228.36</f>
        <v>235.07647058823528</v>
      </c>
      <c r="Q23" t="s">
        <v>505</v>
      </c>
    </row>
    <row r="24" spans="3:17" x14ac:dyDescent="0.2">
      <c r="C24" s="1" t="s">
        <v>141</v>
      </c>
      <c r="D24" t="s">
        <v>324</v>
      </c>
      <c r="E24" t="s">
        <v>326</v>
      </c>
      <c r="F24" s="1" t="s">
        <v>350</v>
      </c>
      <c r="H24" s="12" t="s">
        <v>16</v>
      </c>
      <c r="I24" s="11" t="s">
        <v>948</v>
      </c>
      <c r="J24" s="12" t="s">
        <v>24</v>
      </c>
      <c r="K24" s="13">
        <v>15.6</v>
      </c>
      <c r="L24" s="12">
        <v>192</v>
      </c>
      <c r="M24" s="12">
        <v>450</v>
      </c>
      <c r="N24" s="13">
        <v>39</v>
      </c>
      <c r="O24" s="19">
        <f>O25/42*40</f>
        <v>316.97142857142859</v>
      </c>
      <c r="Q24" t="s">
        <v>506</v>
      </c>
    </row>
    <row r="25" spans="3:17" x14ac:dyDescent="0.2">
      <c r="C25" s="1" t="s">
        <v>142</v>
      </c>
      <c r="D25" t="s">
        <v>324</v>
      </c>
      <c r="E25" t="s">
        <v>326</v>
      </c>
      <c r="F25" s="1" t="s">
        <v>351</v>
      </c>
      <c r="H25" s="12" t="s">
        <v>17</v>
      </c>
      <c r="I25" s="11" t="s">
        <v>949</v>
      </c>
      <c r="J25" s="12" t="s">
        <v>24</v>
      </c>
      <c r="K25" s="13">
        <v>16.2</v>
      </c>
      <c r="L25" s="12">
        <v>202</v>
      </c>
      <c r="M25" s="12">
        <v>470</v>
      </c>
      <c r="N25" s="13">
        <v>39</v>
      </c>
      <c r="O25" s="19">
        <v>332.82</v>
      </c>
      <c r="Q25" t="s">
        <v>507</v>
      </c>
    </row>
    <row r="26" spans="3:17" x14ac:dyDescent="0.2">
      <c r="C26" s="1" t="s">
        <v>143</v>
      </c>
      <c r="D26" t="s">
        <v>324</v>
      </c>
      <c r="E26" t="s">
        <v>326</v>
      </c>
      <c r="F26" s="1" t="s">
        <v>352</v>
      </c>
      <c r="H26" s="12" t="s">
        <v>18</v>
      </c>
      <c r="I26" s="11" t="s">
        <v>950</v>
      </c>
      <c r="J26" s="12" t="s">
        <v>24</v>
      </c>
      <c r="K26" s="13">
        <v>17.600000000000001</v>
      </c>
      <c r="L26" s="12">
        <v>240</v>
      </c>
      <c r="M26" s="12">
        <v>510</v>
      </c>
      <c r="N26" s="13">
        <v>39</v>
      </c>
      <c r="O26" s="19">
        <v>409.97</v>
      </c>
      <c r="Q26" t="s">
        <v>508</v>
      </c>
    </row>
    <row r="27" spans="3:17" x14ac:dyDescent="0.2">
      <c r="C27" s="1" t="s">
        <v>144</v>
      </c>
      <c r="D27" t="s">
        <v>324</v>
      </c>
      <c r="E27" t="s">
        <v>326</v>
      </c>
      <c r="F27" s="1" t="s">
        <v>353</v>
      </c>
      <c r="H27" s="12" t="s">
        <v>19</v>
      </c>
      <c r="I27" s="11" t="s">
        <v>951</v>
      </c>
      <c r="J27" s="12" t="s">
        <v>24</v>
      </c>
      <c r="K27" s="13">
        <v>17.7</v>
      </c>
      <c r="L27" s="12">
        <v>252</v>
      </c>
      <c r="M27" s="12">
        <v>530</v>
      </c>
      <c r="N27" s="13">
        <v>39</v>
      </c>
      <c r="O27" s="19">
        <f>O26/50*52</f>
        <v>426.36880000000002</v>
      </c>
      <c r="Q27" t="s">
        <v>509</v>
      </c>
    </row>
    <row r="28" spans="3:17" x14ac:dyDescent="0.2">
      <c r="C28" s="1" t="s">
        <v>145</v>
      </c>
      <c r="D28" t="s">
        <v>324</v>
      </c>
      <c r="E28" t="s">
        <v>326</v>
      </c>
      <c r="F28" s="1" t="s">
        <v>354</v>
      </c>
      <c r="H28" s="12" t="s">
        <v>20</v>
      </c>
      <c r="I28" s="11" t="s">
        <v>952</v>
      </c>
      <c r="J28" s="12" t="s">
        <v>24</v>
      </c>
      <c r="K28" s="13">
        <v>18.899999999999999</v>
      </c>
      <c r="L28" s="12">
        <v>293</v>
      </c>
      <c r="M28" s="12">
        <v>650</v>
      </c>
      <c r="N28" s="13">
        <v>39</v>
      </c>
      <c r="O28" s="19">
        <v>468.07</v>
      </c>
      <c r="Q28" t="s">
        <v>510</v>
      </c>
    </row>
    <row r="29" spans="3:17" x14ac:dyDescent="0.2">
      <c r="C29" s="1" t="s">
        <v>146</v>
      </c>
      <c r="D29" t="s">
        <v>324</v>
      </c>
      <c r="E29" t="s">
        <v>326</v>
      </c>
      <c r="F29" s="1" t="s">
        <v>355</v>
      </c>
      <c r="H29" s="12" t="s">
        <v>21</v>
      </c>
      <c r="I29" s="11" t="s">
        <v>953</v>
      </c>
      <c r="J29" s="12" t="s">
        <v>24</v>
      </c>
      <c r="K29" s="13">
        <v>19.8</v>
      </c>
      <c r="L29" s="12">
        <v>312</v>
      </c>
      <c r="M29" s="12">
        <v>685</v>
      </c>
      <c r="N29" s="13">
        <v>39</v>
      </c>
      <c r="O29" s="19" t="s">
        <v>904</v>
      </c>
      <c r="Q29" t="s">
        <v>511</v>
      </c>
    </row>
    <row r="30" spans="3:17" x14ac:dyDescent="0.2">
      <c r="C30" s="1" t="s">
        <v>147</v>
      </c>
      <c r="D30" t="s">
        <v>324</v>
      </c>
      <c r="E30" t="s">
        <v>326</v>
      </c>
      <c r="F30" s="1" t="s">
        <v>356</v>
      </c>
      <c r="H30" s="12" t="s">
        <v>22</v>
      </c>
      <c r="I30" s="11" t="s">
        <v>954</v>
      </c>
      <c r="J30" s="12" t="s">
        <v>24</v>
      </c>
      <c r="K30" s="13">
        <v>21.5</v>
      </c>
      <c r="L30" s="12">
        <v>384</v>
      </c>
      <c r="M30" s="12">
        <v>780</v>
      </c>
      <c r="N30" s="13">
        <v>39</v>
      </c>
      <c r="O30" s="19" t="s">
        <v>904</v>
      </c>
      <c r="Q30" t="s">
        <v>512</v>
      </c>
    </row>
    <row r="31" spans="3:17" x14ac:dyDescent="0.2">
      <c r="C31" s="1" t="s">
        <v>148</v>
      </c>
      <c r="D31" t="s">
        <v>324</v>
      </c>
      <c r="E31" t="s">
        <v>326</v>
      </c>
      <c r="F31" s="1" t="s">
        <v>357</v>
      </c>
      <c r="H31" s="12" t="s">
        <v>23</v>
      </c>
      <c r="I31" s="11" t="s">
        <v>955</v>
      </c>
      <c r="J31" s="12" t="s">
        <v>24</v>
      </c>
      <c r="K31" s="13">
        <v>23.9</v>
      </c>
      <c r="L31" s="12">
        <v>480</v>
      </c>
      <c r="M31" s="12">
        <v>970</v>
      </c>
      <c r="N31" s="13">
        <v>39</v>
      </c>
      <c r="O31" s="19" t="s">
        <v>904</v>
      </c>
      <c r="Q31" t="s">
        <v>513</v>
      </c>
    </row>
    <row r="32" spans="3:17" ht="3.6" customHeight="1" x14ac:dyDescent="0.2">
      <c r="H32" s="15"/>
      <c r="I32" s="16"/>
      <c r="J32" s="15"/>
      <c r="K32" s="17"/>
      <c r="L32" s="15"/>
      <c r="M32" s="15"/>
      <c r="N32" s="17"/>
      <c r="O32" s="20"/>
    </row>
    <row r="33" spans="3:17" x14ac:dyDescent="0.2">
      <c r="C33" s="1" t="s">
        <v>94</v>
      </c>
      <c r="D33" t="s">
        <v>323</v>
      </c>
      <c r="E33" t="s">
        <v>325</v>
      </c>
      <c r="F33" s="1" t="s">
        <v>328</v>
      </c>
      <c r="H33" s="12" t="s">
        <v>167</v>
      </c>
      <c r="I33" s="11" t="s">
        <v>956</v>
      </c>
      <c r="J33" s="12" t="s">
        <v>52</v>
      </c>
      <c r="K33" s="13">
        <v>5.5</v>
      </c>
      <c r="L33" s="13">
        <v>14.4</v>
      </c>
      <c r="M33" s="12">
        <v>43</v>
      </c>
      <c r="N33" s="13">
        <v>26</v>
      </c>
      <c r="O33" s="19">
        <v>19.170000000000002</v>
      </c>
      <c r="Q33" t="s">
        <v>514</v>
      </c>
    </row>
    <row r="34" spans="3:17" x14ac:dyDescent="0.2">
      <c r="C34" s="1" t="s">
        <v>95</v>
      </c>
      <c r="D34" t="s">
        <v>324</v>
      </c>
      <c r="E34" t="s">
        <v>326</v>
      </c>
      <c r="F34" s="1" t="s">
        <v>358</v>
      </c>
      <c r="H34" s="12" t="s">
        <v>25</v>
      </c>
      <c r="I34" s="11" t="s">
        <v>957</v>
      </c>
      <c r="J34" s="12" t="s">
        <v>52</v>
      </c>
      <c r="K34" s="13">
        <v>5.7</v>
      </c>
      <c r="L34" s="13">
        <v>22</v>
      </c>
      <c r="M34" s="12">
        <v>61</v>
      </c>
      <c r="N34" s="13">
        <v>26</v>
      </c>
      <c r="O34" s="19">
        <v>26.02</v>
      </c>
      <c r="Q34" t="s">
        <v>515</v>
      </c>
    </row>
    <row r="35" spans="3:17" x14ac:dyDescent="0.2">
      <c r="C35" s="1" t="s">
        <v>96</v>
      </c>
      <c r="D35" t="s">
        <v>324</v>
      </c>
      <c r="E35" t="s">
        <v>326</v>
      </c>
      <c r="F35" s="1" t="s">
        <v>359</v>
      </c>
      <c r="H35" s="12" t="s">
        <v>26</v>
      </c>
      <c r="I35" s="11" t="s">
        <v>958</v>
      </c>
      <c r="J35" s="12" t="s">
        <v>52</v>
      </c>
      <c r="K35" s="13">
        <v>6.2</v>
      </c>
      <c r="L35" s="13">
        <v>28.8</v>
      </c>
      <c r="M35" s="12">
        <v>75</v>
      </c>
      <c r="N35" s="13">
        <v>26</v>
      </c>
      <c r="O35" s="19">
        <v>34.270000000000003</v>
      </c>
      <c r="Q35" t="s">
        <v>516</v>
      </c>
    </row>
    <row r="36" spans="3:17" x14ac:dyDescent="0.2">
      <c r="C36" s="1" t="s">
        <v>97</v>
      </c>
      <c r="D36" t="s">
        <v>324</v>
      </c>
      <c r="E36" t="s">
        <v>326</v>
      </c>
      <c r="F36" s="1" t="s">
        <v>360</v>
      </c>
      <c r="H36" s="12" t="s">
        <v>27</v>
      </c>
      <c r="I36" s="11" t="s">
        <v>959</v>
      </c>
      <c r="J36" s="12" t="s">
        <v>52</v>
      </c>
      <c r="K36" s="13">
        <v>6.9</v>
      </c>
      <c r="L36" s="13">
        <v>36</v>
      </c>
      <c r="M36" s="12">
        <v>100</v>
      </c>
      <c r="N36" s="13">
        <v>26</v>
      </c>
      <c r="O36" s="19">
        <v>42.5</v>
      </c>
      <c r="Q36" t="s">
        <v>517</v>
      </c>
    </row>
    <row r="37" spans="3:17" x14ac:dyDescent="0.2">
      <c r="C37" s="1" t="s">
        <v>98</v>
      </c>
      <c r="D37" t="s">
        <v>324</v>
      </c>
      <c r="E37" t="s">
        <v>326</v>
      </c>
      <c r="F37" s="1" t="s">
        <v>361</v>
      </c>
      <c r="H37" s="12" t="s">
        <v>28</v>
      </c>
      <c r="I37" s="11" t="s">
        <v>960</v>
      </c>
      <c r="J37" s="12" t="s">
        <v>52</v>
      </c>
      <c r="K37" s="13">
        <v>7.6</v>
      </c>
      <c r="L37" s="13">
        <v>43.2</v>
      </c>
      <c r="M37" s="12">
        <v>115</v>
      </c>
      <c r="N37" s="13">
        <v>26</v>
      </c>
      <c r="O37" s="19">
        <v>54.1</v>
      </c>
      <c r="Q37" t="s">
        <v>518</v>
      </c>
    </row>
    <row r="38" spans="3:17" x14ac:dyDescent="0.2">
      <c r="C38" s="1" t="s">
        <v>99</v>
      </c>
      <c r="D38" t="s">
        <v>324</v>
      </c>
      <c r="E38" t="s">
        <v>326</v>
      </c>
      <c r="F38" s="1" t="s">
        <v>362</v>
      </c>
      <c r="H38" s="12" t="s">
        <v>29</v>
      </c>
      <c r="I38" s="11" t="s">
        <v>961</v>
      </c>
      <c r="J38" s="12" t="s">
        <v>52</v>
      </c>
      <c r="K38" s="13">
        <v>7.6</v>
      </c>
      <c r="L38" s="13">
        <v>50</v>
      </c>
      <c r="M38" s="12">
        <v>125</v>
      </c>
      <c r="N38" s="13">
        <v>26</v>
      </c>
      <c r="O38" s="19">
        <v>60.19</v>
      </c>
      <c r="Q38" t="s">
        <v>519</v>
      </c>
    </row>
    <row r="39" spans="3:17" x14ac:dyDescent="0.2">
      <c r="C39" s="1" t="s">
        <v>100</v>
      </c>
      <c r="D39" t="s">
        <v>324</v>
      </c>
      <c r="E39" t="s">
        <v>326</v>
      </c>
      <c r="F39" s="1" t="s">
        <v>363</v>
      </c>
      <c r="H39" s="12" t="s">
        <v>30</v>
      </c>
      <c r="I39" s="11" t="s">
        <v>962</v>
      </c>
      <c r="J39" s="12" t="s">
        <v>52</v>
      </c>
      <c r="K39" s="13">
        <v>8.9</v>
      </c>
      <c r="L39" s="13">
        <v>58</v>
      </c>
      <c r="M39" s="12">
        <v>140</v>
      </c>
      <c r="N39" s="13">
        <v>26</v>
      </c>
      <c r="O39" s="19">
        <v>70.430000000000007</v>
      </c>
      <c r="Q39" t="s">
        <v>520</v>
      </c>
    </row>
    <row r="40" spans="3:17" x14ac:dyDescent="0.2">
      <c r="C40" s="1" t="s">
        <v>101</v>
      </c>
      <c r="D40" t="s">
        <v>324</v>
      </c>
      <c r="E40" t="s">
        <v>326</v>
      </c>
      <c r="F40" s="1" t="s">
        <v>364</v>
      </c>
      <c r="H40" s="12" t="s">
        <v>31</v>
      </c>
      <c r="I40" s="11" t="s">
        <v>963</v>
      </c>
      <c r="J40" s="12" t="s">
        <v>52</v>
      </c>
      <c r="K40" s="13">
        <v>9.6</v>
      </c>
      <c r="L40" s="13">
        <v>65</v>
      </c>
      <c r="M40" s="12">
        <v>150</v>
      </c>
      <c r="N40" s="13">
        <v>26</v>
      </c>
      <c r="O40" s="19">
        <v>80</v>
      </c>
      <c r="Q40" t="s">
        <v>521</v>
      </c>
    </row>
    <row r="41" spans="3:17" x14ac:dyDescent="0.2">
      <c r="C41" s="1" t="s">
        <v>102</v>
      </c>
      <c r="D41" t="s">
        <v>324</v>
      </c>
      <c r="E41" t="s">
        <v>326</v>
      </c>
      <c r="F41" s="1" t="s">
        <v>365</v>
      </c>
      <c r="H41" s="12" t="s">
        <v>32</v>
      </c>
      <c r="I41" s="11" t="s">
        <v>964</v>
      </c>
      <c r="J41" s="12" t="s">
        <v>52</v>
      </c>
      <c r="K41" s="13">
        <v>9.9</v>
      </c>
      <c r="L41" s="13">
        <v>72</v>
      </c>
      <c r="M41" s="12">
        <v>170</v>
      </c>
      <c r="N41" s="13">
        <v>26</v>
      </c>
      <c r="O41" s="19">
        <v>89.5</v>
      </c>
      <c r="Q41" t="s">
        <v>522</v>
      </c>
    </row>
    <row r="42" spans="3:17" x14ac:dyDescent="0.2">
      <c r="C42" s="1" t="s">
        <v>103</v>
      </c>
      <c r="D42" t="s">
        <v>324</v>
      </c>
      <c r="E42" t="s">
        <v>326</v>
      </c>
      <c r="F42" s="1" t="s">
        <v>366</v>
      </c>
      <c r="H42" s="12" t="s">
        <v>33</v>
      </c>
      <c r="I42" s="11" t="s">
        <v>965</v>
      </c>
      <c r="J42" s="12" t="s">
        <v>52</v>
      </c>
      <c r="K42" s="13">
        <v>10.199999999999999</v>
      </c>
      <c r="L42" s="13">
        <v>86</v>
      </c>
      <c r="M42" s="12">
        <v>210</v>
      </c>
      <c r="N42" s="13">
        <v>26</v>
      </c>
      <c r="O42" s="19">
        <v>103.36</v>
      </c>
      <c r="Q42" t="s">
        <v>523</v>
      </c>
    </row>
    <row r="43" spans="3:17" x14ac:dyDescent="0.2">
      <c r="C43" s="1" t="s">
        <v>149</v>
      </c>
      <c r="D43" t="s">
        <v>324</v>
      </c>
      <c r="E43" t="s">
        <v>326</v>
      </c>
      <c r="F43" s="1" t="s">
        <v>367</v>
      </c>
      <c r="H43" s="12" t="s">
        <v>34</v>
      </c>
      <c r="I43" s="11" t="s">
        <v>966</v>
      </c>
      <c r="J43" s="12" t="s">
        <v>52</v>
      </c>
      <c r="K43" s="13">
        <v>10.9</v>
      </c>
      <c r="L43" s="12">
        <v>101</v>
      </c>
      <c r="M43" s="12">
        <v>225</v>
      </c>
      <c r="N43" s="13">
        <v>26</v>
      </c>
      <c r="O43" s="19">
        <v>119.77</v>
      </c>
      <c r="Q43" t="s">
        <v>524</v>
      </c>
    </row>
    <row r="44" spans="3:17" x14ac:dyDescent="0.2">
      <c r="C44" s="1" t="s">
        <v>150</v>
      </c>
      <c r="D44" t="s">
        <v>324</v>
      </c>
      <c r="E44" t="s">
        <v>326</v>
      </c>
      <c r="F44" s="1" t="s">
        <v>368</v>
      </c>
      <c r="H44" s="12" t="s">
        <v>168</v>
      </c>
      <c r="I44" s="11" t="s">
        <v>967</v>
      </c>
      <c r="J44" s="12" t="s">
        <v>52</v>
      </c>
      <c r="K44" s="13">
        <v>11.2</v>
      </c>
      <c r="L44" s="12">
        <v>115</v>
      </c>
      <c r="M44" s="12">
        <v>240</v>
      </c>
      <c r="N44" s="13">
        <v>26</v>
      </c>
      <c r="O44" s="19">
        <v>138.82</v>
      </c>
      <c r="Q44" t="s">
        <v>525</v>
      </c>
    </row>
    <row r="45" spans="3:17" x14ac:dyDescent="0.2">
      <c r="C45" s="1" t="s">
        <v>151</v>
      </c>
      <c r="D45" t="s">
        <v>324</v>
      </c>
      <c r="E45" t="s">
        <v>326</v>
      </c>
      <c r="F45" s="1" t="s">
        <v>369</v>
      </c>
      <c r="H45" s="12" t="s">
        <v>35</v>
      </c>
      <c r="I45" s="11" t="s">
        <v>968</v>
      </c>
      <c r="J45" s="12" t="s">
        <v>52</v>
      </c>
      <c r="K45" s="13">
        <v>12.1</v>
      </c>
      <c r="L45" s="12">
        <v>130</v>
      </c>
      <c r="M45" s="12">
        <v>280</v>
      </c>
      <c r="N45" s="13">
        <v>26</v>
      </c>
      <c r="O45" s="19">
        <v>154.11000000000001</v>
      </c>
      <c r="Q45" t="s">
        <v>526</v>
      </c>
    </row>
    <row r="46" spans="3:17" x14ac:dyDescent="0.2">
      <c r="C46" s="1" t="s">
        <v>152</v>
      </c>
      <c r="D46" t="s">
        <v>324</v>
      </c>
      <c r="E46" t="s">
        <v>326</v>
      </c>
      <c r="F46" s="1" t="s">
        <v>370</v>
      </c>
      <c r="H46" s="12" t="s">
        <v>36</v>
      </c>
      <c r="I46" s="11" t="s">
        <v>969</v>
      </c>
      <c r="J46" s="12" t="s">
        <v>52</v>
      </c>
      <c r="K46" s="13">
        <v>13</v>
      </c>
      <c r="L46" s="12">
        <v>144</v>
      </c>
      <c r="M46" s="12">
        <v>310</v>
      </c>
      <c r="N46" s="13">
        <v>26</v>
      </c>
      <c r="O46" s="19">
        <f>O47*20/21</f>
        <v>179.53333333333333</v>
      </c>
      <c r="Q46" t="s">
        <v>527</v>
      </c>
    </row>
    <row r="47" spans="3:17" x14ac:dyDescent="0.2">
      <c r="C47" s="1" t="s">
        <v>153</v>
      </c>
      <c r="D47" t="s">
        <v>324</v>
      </c>
      <c r="E47" t="s">
        <v>326</v>
      </c>
      <c r="F47" s="1" t="s">
        <v>371</v>
      </c>
      <c r="H47" s="12" t="s">
        <v>37</v>
      </c>
      <c r="I47" s="11" t="s">
        <v>970</v>
      </c>
      <c r="J47" s="12" t="s">
        <v>52</v>
      </c>
      <c r="K47" s="13">
        <v>13.4</v>
      </c>
      <c r="L47" s="12">
        <v>151</v>
      </c>
      <c r="M47" s="12">
        <v>325</v>
      </c>
      <c r="N47" s="13">
        <v>26</v>
      </c>
      <c r="O47" s="19">
        <v>188.51</v>
      </c>
      <c r="Q47" t="s">
        <v>528</v>
      </c>
    </row>
    <row r="48" spans="3:17" x14ac:dyDescent="0.2">
      <c r="C48" s="1" t="s">
        <v>154</v>
      </c>
      <c r="D48" t="s">
        <v>324</v>
      </c>
      <c r="E48" t="s">
        <v>326</v>
      </c>
      <c r="F48" s="1" t="s">
        <v>372</v>
      </c>
      <c r="H48" s="12" t="s">
        <v>38</v>
      </c>
      <c r="I48" s="11" t="s">
        <v>971</v>
      </c>
      <c r="J48" s="12" t="s">
        <v>52</v>
      </c>
      <c r="K48" s="13">
        <v>14.2</v>
      </c>
      <c r="L48" s="12">
        <v>180</v>
      </c>
      <c r="M48" s="12">
        <v>370</v>
      </c>
      <c r="N48" s="13">
        <v>26</v>
      </c>
      <c r="O48" s="19">
        <v>207.2</v>
      </c>
      <c r="Q48" t="s">
        <v>529</v>
      </c>
    </row>
    <row r="49" spans="3:17" x14ac:dyDescent="0.2">
      <c r="C49" s="1" t="s">
        <v>155</v>
      </c>
      <c r="D49" t="s">
        <v>324</v>
      </c>
      <c r="E49" t="s">
        <v>326</v>
      </c>
      <c r="F49" s="1" t="s">
        <v>373</v>
      </c>
      <c r="H49" s="12" t="s">
        <v>39</v>
      </c>
      <c r="I49" s="11" t="s">
        <v>972</v>
      </c>
      <c r="J49" s="12" t="s">
        <v>52</v>
      </c>
      <c r="K49" s="13">
        <v>15.1</v>
      </c>
      <c r="L49" s="12">
        <v>216</v>
      </c>
      <c r="M49" s="12">
        <v>440</v>
      </c>
      <c r="N49" s="13">
        <v>26</v>
      </c>
      <c r="O49" s="19">
        <v>258.74</v>
      </c>
      <c r="Q49" t="s">
        <v>530</v>
      </c>
    </row>
    <row r="50" spans="3:17" x14ac:dyDescent="0.2">
      <c r="C50" s="1" t="s">
        <v>156</v>
      </c>
      <c r="D50" t="s">
        <v>324</v>
      </c>
      <c r="E50" t="s">
        <v>326</v>
      </c>
      <c r="F50" s="1" t="s">
        <v>374</v>
      </c>
      <c r="H50" s="12" t="s">
        <v>40</v>
      </c>
      <c r="I50" s="11" t="s">
        <v>973</v>
      </c>
      <c r="J50" s="12" t="s">
        <v>52</v>
      </c>
      <c r="K50" s="13">
        <v>16.100000000000001</v>
      </c>
      <c r="L50" s="12">
        <v>223</v>
      </c>
      <c r="M50" s="12">
        <v>455</v>
      </c>
      <c r="N50" s="13">
        <v>26</v>
      </c>
      <c r="O50" s="19">
        <v>262</v>
      </c>
      <c r="Q50" t="s">
        <v>531</v>
      </c>
    </row>
    <row r="51" spans="3:17" x14ac:dyDescent="0.2">
      <c r="C51" s="1" t="s">
        <v>157</v>
      </c>
      <c r="D51" t="s">
        <v>324</v>
      </c>
      <c r="E51" t="s">
        <v>326</v>
      </c>
      <c r="F51" s="1" t="s">
        <v>375</v>
      </c>
      <c r="H51" s="12" t="s">
        <v>41</v>
      </c>
      <c r="I51" s="11" t="s">
        <v>974</v>
      </c>
      <c r="J51" s="12" t="s">
        <v>52</v>
      </c>
      <c r="K51" s="13">
        <v>16.2</v>
      </c>
      <c r="L51" s="12">
        <v>230</v>
      </c>
      <c r="M51" s="12">
        <v>460</v>
      </c>
      <c r="N51" s="13">
        <v>26</v>
      </c>
      <c r="O51" s="19">
        <v>264.17</v>
      </c>
      <c r="Q51" t="s">
        <v>532</v>
      </c>
    </row>
    <row r="52" spans="3:17" x14ac:dyDescent="0.2">
      <c r="C52" s="1" t="s">
        <v>158</v>
      </c>
      <c r="D52" t="s">
        <v>324</v>
      </c>
      <c r="E52" t="s">
        <v>326</v>
      </c>
      <c r="F52" s="1" t="s">
        <v>376</v>
      </c>
      <c r="H52" s="12" t="s">
        <v>42</v>
      </c>
      <c r="I52" s="11" t="s">
        <v>975</v>
      </c>
      <c r="J52" s="12" t="s">
        <v>52</v>
      </c>
      <c r="K52" s="13">
        <v>16.3</v>
      </c>
      <c r="L52" s="12">
        <v>245</v>
      </c>
      <c r="M52" s="12">
        <v>500</v>
      </c>
      <c r="N52" s="13">
        <v>26</v>
      </c>
      <c r="O52" s="19">
        <v>309.20999999999998</v>
      </c>
      <c r="Q52" t="s">
        <v>533</v>
      </c>
    </row>
    <row r="53" spans="3:17" x14ac:dyDescent="0.2">
      <c r="C53" s="1" t="s">
        <v>159</v>
      </c>
      <c r="D53" t="s">
        <v>324</v>
      </c>
      <c r="E53" t="s">
        <v>326</v>
      </c>
      <c r="F53" s="1" t="s">
        <v>377</v>
      </c>
      <c r="H53" s="12" t="s">
        <v>43</v>
      </c>
      <c r="I53" s="11" t="s">
        <v>976</v>
      </c>
      <c r="J53" s="12" t="s">
        <v>52</v>
      </c>
      <c r="K53" s="13">
        <v>16.5</v>
      </c>
      <c r="L53" s="12">
        <v>260</v>
      </c>
      <c r="M53" s="12">
        <v>535</v>
      </c>
      <c r="N53" s="13">
        <v>26</v>
      </c>
      <c r="O53" s="19">
        <v>347</v>
      </c>
      <c r="Q53" t="s">
        <v>534</v>
      </c>
    </row>
    <row r="54" spans="3:17" x14ac:dyDescent="0.2">
      <c r="C54" s="1" t="s">
        <v>160</v>
      </c>
      <c r="D54" t="s">
        <v>324</v>
      </c>
      <c r="E54" t="s">
        <v>326</v>
      </c>
      <c r="F54" s="1" t="s">
        <v>378</v>
      </c>
      <c r="H54" s="12" t="s">
        <v>44</v>
      </c>
      <c r="I54" s="11" t="s">
        <v>977</v>
      </c>
      <c r="J54" s="12" t="s">
        <v>52</v>
      </c>
      <c r="K54" s="13">
        <v>17.5</v>
      </c>
      <c r="L54" s="12">
        <v>288</v>
      </c>
      <c r="M54" s="12">
        <v>570</v>
      </c>
      <c r="N54" s="13">
        <v>26</v>
      </c>
      <c r="O54" s="19">
        <f>O56/42*40</f>
        <v>383.7619047619047</v>
      </c>
      <c r="Q54" t="s">
        <v>535</v>
      </c>
    </row>
    <row r="55" spans="3:17" x14ac:dyDescent="0.2">
      <c r="C55" s="1" t="s">
        <v>161</v>
      </c>
      <c r="D55" t="s">
        <v>324</v>
      </c>
      <c r="E55" t="s">
        <v>326</v>
      </c>
      <c r="F55" s="1" t="s">
        <v>379</v>
      </c>
      <c r="H55" s="12" t="s">
        <v>45</v>
      </c>
      <c r="I55" s="11" t="s">
        <v>978</v>
      </c>
      <c r="J55" s="12" t="s">
        <v>52</v>
      </c>
      <c r="K55" s="13">
        <v>17.7</v>
      </c>
      <c r="L55" s="12">
        <v>296</v>
      </c>
      <c r="M55" s="12">
        <v>580</v>
      </c>
      <c r="N55" s="13">
        <v>26</v>
      </c>
      <c r="O55" s="19">
        <f>O56/42*41</f>
        <v>393.35595238095237</v>
      </c>
      <c r="Q55" t="s">
        <v>536</v>
      </c>
    </row>
    <row r="56" spans="3:17" x14ac:dyDescent="0.2">
      <c r="C56" s="1" t="s">
        <v>162</v>
      </c>
      <c r="D56" t="s">
        <v>324</v>
      </c>
      <c r="E56" t="s">
        <v>326</v>
      </c>
      <c r="F56" s="1" t="s">
        <v>380</v>
      </c>
      <c r="H56" s="12" t="s">
        <v>46</v>
      </c>
      <c r="I56" s="11" t="s">
        <v>979</v>
      </c>
      <c r="J56" s="12" t="s">
        <v>52</v>
      </c>
      <c r="K56" s="13">
        <v>17.8</v>
      </c>
      <c r="L56" s="12">
        <v>302</v>
      </c>
      <c r="M56" s="12">
        <v>590</v>
      </c>
      <c r="N56" s="13">
        <v>26</v>
      </c>
      <c r="O56" s="19">
        <v>402.95</v>
      </c>
      <c r="Q56" t="s">
        <v>537</v>
      </c>
    </row>
    <row r="57" spans="3:17" x14ac:dyDescent="0.2">
      <c r="C57" s="1" t="s">
        <v>163</v>
      </c>
      <c r="D57" t="s">
        <v>324</v>
      </c>
      <c r="E57" t="s">
        <v>326</v>
      </c>
      <c r="F57" s="1" t="s">
        <v>381</v>
      </c>
      <c r="H57" s="12" t="s">
        <v>47</v>
      </c>
      <c r="I57" s="11" t="s">
        <v>980</v>
      </c>
      <c r="J57" s="12" t="s">
        <v>52</v>
      </c>
      <c r="K57" s="13">
        <v>19.5</v>
      </c>
      <c r="L57" s="12">
        <v>360</v>
      </c>
      <c r="M57" s="12">
        <v>640</v>
      </c>
      <c r="N57" s="13">
        <v>26</v>
      </c>
      <c r="O57" s="19">
        <v>541.88</v>
      </c>
      <c r="Q57" t="s">
        <v>538</v>
      </c>
    </row>
    <row r="58" spans="3:17" x14ac:dyDescent="0.2">
      <c r="C58" s="1" t="s">
        <v>173</v>
      </c>
      <c r="D58" t="s">
        <v>324</v>
      </c>
      <c r="E58" t="s">
        <v>326</v>
      </c>
      <c r="F58" s="1" t="s">
        <v>382</v>
      </c>
      <c r="H58" s="12" t="s">
        <v>48</v>
      </c>
      <c r="I58" s="11" t="s">
        <v>981</v>
      </c>
      <c r="J58" s="12" t="s">
        <v>52</v>
      </c>
      <c r="K58" s="13">
        <v>20.8</v>
      </c>
      <c r="L58" s="12">
        <v>439</v>
      </c>
      <c r="M58" s="12">
        <v>775</v>
      </c>
      <c r="N58" s="13">
        <v>26</v>
      </c>
      <c r="O58" s="19">
        <v>665.89</v>
      </c>
      <c r="Q58" t="s">
        <v>539</v>
      </c>
    </row>
    <row r="59" spans="3:17" x14ac:dyDescent="0.2">
      <c r="C59" s="1" t="s">
        <v>174</v>
      </c>
      <c r="D59" t="s">
        <v>324</v>
      </c>
      <c r="E59" t="s">
        <v>326</v>
      </c>
      <c r="F59" s="1" t="s">
        <v>383</v>
      </c>
      <c r="H59" s="12" t="s">
        <v>49</v>
      </c>
      <c r="I59" s="11" t="s">
        <v>982</v>
      </c>
      <c r="J59" s="12" t="s">
        <v>52</v>
      </c>
      <c r="K59" s="13">
        <v>21.9</v>
      </c>
      <c r="L59" s="12">
        <v>468</v>
      </c>
      <c r="M59" s="12">
        <v>895</v>
      </c>
      <c r="N59" s="13">
        <v>26</v>
      </c>
      <c r="O59" s="19" t="s">
        <v>904</v>
      </c>
      <c r="Q59" t="s">
        <v>540</v>
      </c>
    </row>
    <row r="60" spans="3:17" x14ac:dyDescent="0.2">
      <c r="C60" s="1" t="s">
        <v>175</v>
      </c>
      <c r="D60" t="s">
        <v>324</v>
      </c>
      <c r="E60" t="s">
        <v>326</v>
      </c>
      <c r="F60" s="1" t="s">
        <v>384</v>
      </c>
      <c r="H60" s="12" t="s">
        <v>50</v>
      </c>
      <c r="I60" s="11" t="s">
        <v>983</v>
      </c>
      <c r="J60" s="12" t="s">
        <v>52</v>
      </c>
      <c r="K60" s="13">
        <v>24</v>
      </c>
      <c r="L60" s="12">
        <v>576</v>
      </c>
      <c r="M60" s="12">
        <v>1155</v>
      </c>
      <c r="N60" s="13">
        <v>26</v>
      </c>
      <c r="O60" s="19" t="s">
        <v>904</v>
      </c>
      <c r="Q60" t="s">
        <v>541</v>
      </c>
    </row>
    <row r="61" spans="3:17" x14ac:dyDescent="0.2">
      <c r="C61" s="1" t="s">
        <v>176</v>
      </c>
      <c r="D61" t="s">
        <v>324</v>
      </c>
      <c r="E61" t="s">
        <v>326</v>
      </c>
      <c r="F61" s="1" t="s">
        <v>385</v>
      </c>
      <c r="H61" s="12" t="s">
        <v>51</v>
      </c>
      <c r="I61" s="11" t="s">
        <v>984</v>
      </c>
      <c r="J61" s="12" t="s">
        <v>52</v>
      </c>
      <c r="K61" s="13">
        <v>26.4</v>
      </c>
      <c r="L61" s="12">
        <v>720</v>
      </c>
      <c r="M61" s="12">
        <v>1310</v>
      </c>
      <c r="N61" s="13">
        <v>26</v>
      </c>
      <c r="O61" s="19" t="s">
        <v>904</v>
      </c>
      <c r="Q61" t="s">
        <v>542</v>
      </c>
    </row>
    <row r="62" spans="3:17" ht="3.6" customHeight="1" x14ac:dyDescent="0.2">
      <c r="H62" s="15"/>
      <c r="I62" s="16"/>
      <c r="J62" s="15"/>
      <c r="K62" s="17"/>
      <c r="L62" s="15"/>
      <c r="M62" s="15"/>
      <c r="N62" s="15"/>
      <c r="O62" s="20"/>
    </row>
    <row r="63" spans="3:17" x14ac:dyDescent="0.2">
      <c r="C63" s="1" t="s">
        <v>104</v>
      </c>
      <c r="D63" t="s">
        <v>323</v>
      </c>
      <c r="E63" t="s">
        <v>325</v>
      </c>
      <c r="F63" s="1" t="s">
        <v>329</v>
      </c>
      <c r="H63" s="12" t="s">
        <v>204</v>
      </c>
      <c r="I63" s="11" t="s">
        <v>985</v>
      </c>
      <c r="J63" s="12" t="s">
        <v>84</v>
      </c>
      <c r="K63" s="13">
        <v>5.8</v>
      </c>
      <c r="L63" s="12">
        <v>19.2</v>
      </c>
      <c r="M63" s="12">
        <v>57</v>
      </c>
      <c r="N63" s="12">
        <v>19.5</v>
      </c>
      <c r="O63" s="19">
        <v>23.52</v>
      </c>
      <c r="Q63" t="s">
        <v>543</v>
      </c>
    </row>
    <row r="64" spans="3:17" x14ac:dyDescent="0.2">
      <c r="C64" s="1" t="s">
        <v>105</v>
      </c>
      <c r="D64" t="s">
        <v>324</v>
      </c>
      <c r="E64" t="s">
        <v>326</v>
      </c>
      <c r="F64" s="1" t="s">
        <v>386</v>
      </c>
      <c r="H64" s="12" t="s">
        <v>53</v>
      </c>
      <c r="I64" s="11" t="s">
        <v>986</v>
      </c>
      <c r="J64" s="12" t="s">
        <v>84</v>
      </c>
      <c r="K64" s="13">
        <v>6.3</v>
      </c>
      <c r="L64" s="12">
        <v>28.8</v>
      </c>
      <c r="M64" s="12">
        <v>80</v>
      </c>
      <c r="N64" s="12">
        <v>19.5</v>
      </c>
      <c r="O64" s="19">
        <v>32.06</v>
      </c>
      <c r="Q64" t="s">
        <v>544</v>
      </c>
    </row>
    <row r="65" spans="3:17" x14ac:dyDescent="0.2">
      <c r="C65" s="1" t="s">
        <v>106</v>
      </c>
      <c r="D65" t="s">
        <v>324</v>
      </c>
      <c r="E65" t="s">
        <v>326</v>
      </c>
      <c r="F65" s="1" t="s">
        <v>387</v>
      </c>
      <c r="H65" s="12" t="s">
        <v>54</v>
      </c>
      <c r="I65" s="11" t="s">
        <v>987</v>
      </c>
      <c r="J65" s="12" t="s">
        <v>84</v>
      </c>
      <c r="K65" s="13">
        <v>6.7</v>
      </c>
      <c r="L65" s="12">
        <v>38.4</v>
      </c>
      <c r="M65" s="12">
        <v>105</v>
      </c>
      <c r="N65" s="12">
        <v>19.5</v>
      </c>
      <c r="O65" s="19">
        <v>43.32</v>
      </c>
      <c r="Q65" t="s">
        <v>545</v>
      </c>
    </row>
    <row r="66" spans="3:17" x14ac:dyDescent="0.2">
      <c r="C66" s="1" t="s">
        <v>107</v>
      </c>
      <c r="D66" t="s">
        <v>324</v>
      </c>
      <c r="E66" t="s">
        <v>326</v>
      </c>
      <c r="F66" s="1" t="s">
        <v>388</v>
      </c>
      <c r="H66" s="12" t="s">
        <v>55</v>
      </c>
      <c r="I66" s="11" t="s">
        <v>988</v>
      </c>
      <c r="J66" s="12" t="s">
        <v>84</v>
      </c>
      <c r="K66" s="13">
        <v>7.3</v>
      </c>
      <c r="L66" s="13">
        <v>48</v>
      </c>
      <c r="M66" s="12">
        <v>125</v>
      </c>
      <c r="N66" s="12">
        <v>19.5</v>
      </c>
      <c r="O66" s="19">
        <v>53.51</v>
      </c>
      <c r="Q66" t="s">
        <v>546</v>
      </c>
    </row>
    <row r="67" spans="3:17" x14ac:dyDescent="0.2">
      <c r="C67" s="1" t="s">
        <v>108</v>
      </c>
      <c r="D67" t="s">
        <v>324</v>
      </c>
      <c r="E67" t="s">
        <v>326</v>
      </c>
      <c r="F67" s="1" t="s">
        <v>389</v>
      </c>
      <c r="H67" s="12" t="s">
        <v>56</v>
      </c>
      <c r="I67" s="11" t="s">
        <v>989</v>
      </c>
      <c r="J67" s="12" t="s">
        <v>84</v>
      </c>
      <c r="K67" s="13">
        <v>8.1</v>
      </c>
      <c r="L67" s="13">
        <v>57.6</v>
      </c>
      <c r="M67" s="12">
        <v>135</v>
      </c>
      <c r="N67" s="12">
        <v>19.5</v>
      </c>
      <c r="O67" s="19">
        <v>68</v>
      </c>
      <c r="Q67" t="s">
        <v>547</v>
      </c>
    </row>
    <row r="68" spans="3:17" x14ac:dyDescent="0.2">
      <c r="C68" s="1" t="s">
        <v>109</v>
      </c>
      <c r="D68" t="s">
        <v>324</v>
      </c>
      <c r="E68" t="s">
        <v>326</v>
      </c>
      <c r="F68" s="1" t="s">
        <v>390</v>
      </c>
      <c r="H68" s="12" t="s">
        <v>57</v>
      </c>
      <c r="I68" s="11" t="s">
        <v>990</v>
      </c>
      <c r="J68" s="12" t="s">
        <v>84</v>
      </c>
      <c r="K68" s="13">
        <v>8.3000000000000007</v>
      </c>
      <c r="L68" s="13">
        <v>67</v>
      </c>
      <c r="M68" s="12">
        <v>150</v>
      </c>
      <c r="N68" s="12">
        <v>19.5</v>
      </c>
      <c r="O68" s="19">
        <v>77.34</v>
      </c>
      <c r="Q68" t="s">
        <v>548</v>
      </c>
    </row>
    <row r="69" spans="3:17" x14ac:dyDescent="0.2">
      <c r="C69" s="1" t="s">
        <v>110</v>
      </c>
      <c r="D69" t="s">
        <v>324</v>
      </c>
      <c r="E69" t="s">
        <v>326</v>
      </c>
      <c r="F69" s="1" t="s">
        <v>391</v>
      </c>
      <c r="H69" s="12" t="s">
        <v>58</v>
      </c>
      <c r="I69" s="11" t="s">
        <v>991</v>
      </c>
      <c r="J69" s="12" t="s">
        <v>84</v>
      </c>
      <c r="K69" s="13">
        <v>9.5</v>
      </c>
      <c r="L69" s="13">
        <v>77</v>
      </c>
      <c r="M69" s="12">
        <v>175</v>
      </c>
      <c r="N69" s="12">
        <v>19.5</v>
      </c>
      <c r="O69" s="19">
        <v>88.97</v>
      </c>
      <c r="Q69" t="s">
        <v>549</v>
      </c>
    </row>
    <row r="70" spans="3:17" x14ac:dyDescent="0.2">
      <c r="C70" s="1" t="s">
        <v>111</v>
      </c>
      <c r="D70" t="s">
        <v>324</v>
      </c>
      <c r="E70" t="s">
        <v>326</v>
      </c>
      <c r="F70" s="1" t="s">
        <v>392</v>
      </c>
      <c r="H70" s="12" t="s">
        <v>59</v>
      </c>
      <c r="I70" s="11" t="s">
        <v>992</v>
      </c>
      <c r="J70" s="12" t="s">
        <v>84</v>
      </c>
      <c r="K70" s="13">
        <v>10.3</v>
      </c>
      <c r="L70" s="13">
        <v>86.4</v>
      </c>
      <c r="M70" s="12">
        <v>200</v>
      </c>
      <c r="N70" s="12">
        <v>19.5</v>
      </c>
      <c r="O70" s="19">
        <v>100</v>
      </c>
      <c r="Q70" t="s">
        <v>550</v>
      </c>
    </row>
    <row r="71" spans="3:17" x14ac:dyDescent="0.2">
      <c r="C71" s="1" t="s">
        <v>112</v>
      </c>
      <c r="D71" t="s">
        <v>324</v>
      </c>
      <c r="E71" t="s">
        <v>326</v>
      </c>
      <c r="F71" s="1" t="s">
        <v>393</v>
      </c>
      <c r="H71" s="12" t="s">
        <v>60</v>
      </c>
      <c r="I71" s="11" t="s">
        <v>993</v>
      </c>
      <c r="J71" s="12" t="s">
        <v>84</v>
      </c>
      <c r="K71" s="13">
        <v>10.5</v>
      </c>
      <c r="L71" s="13">
        <v>96</v>
      </c>
      <c r="M71" s="12">
        <v>220</v>
      </c>
      <c r="N71" s="12">
        <v>19.5</v>
      </c>
      <c r="O71" s="19">
        <v>110.81</v>
      </c>
      <c r="Q71" t="s">
        <v>551</v>
      </c>
    </row>
    <row r="72" spans="3:17" x14ac:dyDescent="0.2">
      <c r="C72" s="1" t="s">
        <v>113</v>
      </c>
      <c r="D72" t="s">
        <v>324</v>
      </c>
      <c r="E72" t="s">
        <v>326</v>
      </c>
      <c r="F72" s="1" t="s">
        <v>394</v>
      </c>
      <c r="H72" s="12" t="s">
        <v>61</v>
      </c>
      <c r="I72" s="11" t="s">
        <v>994</v>
      </c>
      <c r="J72" s="12" t="s">
        <v>84</v>
      </c>
      <c r="K72" s="13">
        <v>10.8</v>
      </c>
      <c r="L72" s="12">
        <v>115</v>
      </c>
      <c r="M72" s="12">
        <v>260</v>
      </c>
      <c r="N72" s="12">
        <v>19.5</v>
      </c>
      <c r="O72" s="19">
        <v>132.76</v>
      </c>
      <c r="Q72" t="s">
        <v>552</v>
      </c>
    </row>
    <row r="73" spans="3:17" x14ac:dyDescent="0.2">
      <c r="C73" s="1" t="s">
        <v>177</v>
      </c>
      <c r="D73" t="s">
        <v>324</v>
      </c>
      <c r="E73" t="s">
        <v>326</v>
      </c>
      <c r="F73" s="1" t="s">
        <v>395</v>
      </c>
      <c r="H73" s="12" t="s">
        <v>62</v>
      </c>
      <c r="I73" s="11" t="s">
        <v>995</v>
      </c>
      <c r="J73" s="12" t="s">
        <v>84</v>
      </c>
      <c r="K73" s="13">
        <v>11.6</v>
      </c>
      <c r="L73" s="12">
        <v>134</v>
      </c>
      <c r="M73" s="12">
        <v>290</v>
      </c>
      <c r="N73" s="12">
        <v>19.5</v>
      </c>
      <c r="O73" s="19">
        <v>156.33000000000001</v>
      </c>
      <c r="Q73" t="s">
        <v>553</v>
      </c>
    </row>
    <row r="74" spans="3:17" x14ac:dyDescent="0.2">
      <c r="C74" s="1" t="s">
        <v>178</v>
      </c>
      <c r="D74" t="s">
        <v>324</v>
      </c>
      <c r="E74" t="s">
        <v>326</v>
      </c>
      <c r="F74" s="1" t="s">
        <v>396</v>
      </c>
      <c r="H74" s="12" t="s">
        <v>63</v>
      </c>
      <c r="I74" s="11" t="s">
        <v>996</v>
      </c>
      <c r="J74" s="12" t="s">
        <v>84</v>
      </c>
      <c r="K74" s="13">
        <v>12.1</v>
      </c>
      <c r="L74" s="12">
        <v>154</v>
      </c>
      <c r="M74" s="12">
        <v>320</v>
      </c>
      <c r="N74" s="12">
        <v>19.5</v>
      </c>
      <c r="O74" s="19">
        <v>182</v>
      </c>
      <c r="Q74" t="s">
        <v>554</v>
      </c>
    </row>
    <row r="75" spans="3:17" x14ac:dyDescent="0.2">
      <c r="C75" s="1" t="s">
        <v>179</v>
      </c>
      <c r="D75" t="s">
        <v>324</v>
      </c>
      <c r="E75" t="s">
        <v>326</v>
      </c>
      <c r="F75" s="1" t="s">
        <v>397</v>
      </c>
      <c r="H75" s="12" t="s">
        <v>64</v>
      </c>
      <c r="I75" s="11" t="s">
        <v>997</v>
      </c>
      <c r="J75" s="12" t="s">
        <v>84</v>
      </c>
      <c r="K75" s="13">
        <v>12.9</v>
      </c>
      <c r="L75" s="12">
        <v>173</v>
      </c>
      <c r="M75" s="12">
        <v>350</v>
      </c>
      <c r="N75" s="12">
        <v>19.5</v>
      </c>
      <c r="O75" s="19">
        <v>199.23</v>
      </c>
      <c r="Q75" t="s">
        <v>555</v>
      </c>
    </row>
    <row r="76" spans="3:17" x14ac:dyDescent="0.2">
      <c r="C76" s="1" t="s">
        <v>180</v>
      </c>
      <c r="D76" t="s">
        <v>324</v>
      </c>
      <c r="E76" t="s">
        <v>326</v>
      </c>
      <c r="F76" s="1" t="s">
        <v>398</v>
      </c>
      <c r="H76" s="12" t="s">
        <v>65</v>
      </c>
      <c r="I76" s="11" t="s">
        <v>998</v>
      </c>
      <c r="J76" s="12" t="s">
        <v>84</v>
      </c>
      <c r="K76" s="13">
        <v>13</v>
      </c>
      <c r="L76" s="12">
        <v>182</v>
      </c>
      <c r="M76" s="12">
        <v>360</v>
      </c>
      <c r="N76" s="12">
        <v>19.5</v>
      </c>
      <c r="O76" s="19">
        <v>209</v>
      </c>
      <c r="Q76" t="s">
        <v>556</v>
      </c>
    </row>
    <row r="77" spans="3:17" x14ac:dyDescent="0.2">
      <c r="C77" s="1" t="s">
        <v>181</v>
      </c>
      <c r="D77" t="s">
        <v>324</v>
      </c>
      <c r="E77" t="s">
        <v>326</v>
      </c>
      <c r="F77" s="1" t="s">
        <v>399</v>
      </c>
      <c r="H77" s="12" t="s">
        <v>66</v>
      </c>
      <c r="I77" s="11" t="s">
        <v>999</v>
      </c>
      <c r="J77" s="12" t="s">
        <v>84</v>
      </c>
      <c r="K77" s="13">
        <v>13.7</v>
      </c>
      <c r="L77" s="12">
        <v>192</v>
      </c>
      <c r="M77" s="12">
        <v>370</v>
      </c>
      <c r="N77" s="12">
        <v>19.5</v>
      </c>
      <c r="O77" s="19">
        <v>218</v>
      </c>
      <c r="Q77" t="s">
        <v>557</v>
      </c>
    </row>
    <row r="78" spans="3:17" x14ac:dyDescent="0.2">
      <c r="C78" s="1" t="s">
        <v>182</v>
      </c>
      <c r="D78" t="s">
        <v>324</v>
      </c>
      <c r="E78" t="s">
        <v>326</v>
      </c>
      <c r="F78" s="1" t="s">
        <v>400</v>
      </c>
      <c r="H78" s="12" t="s">
        <v>67</v>
      </c>
      <c r="I78" s="11" t="s">
        <v>1000</v>
      </c>
      <c r="J78" s="12" t="s">
        <v>84</v>
      </c>
      <c r="K78" s="13">
        <v>14.1</v>
      </c>
      <c r="L78" s="12">
        <v>205</v>
      </c>
      <c r="M78" s="12">
        <v>380</v>
      </c>
      <c r="N78" s="12">
        <v>19.5</v>
      </c>
      <c r="O78" s="19">
        <v>241.01</v>
      </c>
      <c r="Q78" t="s">
        <v>558</v>
      </c>
    </row>
    <row r="79" spans="3:17" x14ac:dyDescent="0.2">
      <c r="C79" s="1" t="s">
        <v>183</v>
      </c>
      <c r="D79" t="s">
        <v>324</v>
      </c>
      <c r="E79" t="s">
        <v>326</v>
      </c>
      <c r="F79" s="1" t="s">
        <v>401</v>
      </c>
      <c r="H79" s="12" t="s">
        <v>68</v>
      </c>
      <c r="I79" s="11" t="s">
        <v>1001</v>
      </c>
      <c r="J79" s="12" t="s">
        <v>84</v>
      </c>
      <c r="K79" s="13">
        <v>14.6</v>
      </c>
      <c r="L79" s="12">
        <v>236</v>
      </c>
      <c r="M79" s="12">
        <v>445</v>
      </c>
      <c r="N79" s="12">
        <v>19.5</v>
      </c>
      <c r="O79" s="19">
        <f>O80/25*24</f>
        <v>271.86239999999998</v>
      </c>
      <c r="Q79" t="s">
        <v>559</v>
      </c>
    </row>
    <row r="80" spans="3:17" x14ac:dyDescent="0.2">
      <c r="C80" s="1" t="s">
        <v>184</v>
      </c>
      <c r="D80" t="s">
        <v>324</v>
      </c>
      <c r="E80" t="s">
        <v>326</v>
      </c>
      <c r="F80" s="1" t="s">
        <v>402</v>
      </c>
      <c r="H80" s="12" t="s">
        <v>69</v>
      </c>
      <c r="I80" s="11" t="s">
        <v>1002</v>
      </c>
      <c r="J80" s="12" t="s">
        <v>84</v>
      </c>
      <c r="K80" s="13">
        <v>14.8</v>
      </c>
      <c r="L80" s="12">
        <v>240</v>
      </c>
      <c r="M80" s="12">
        <v>470</v>
      </c>
      <c r="N80" s="12">
        <v>19.5</v>
      </c>
      <c r="O80" s="19">
        <v>283.19</v>
      </c>
      <c r="Q80" t="s">
        <v>560</v>
      </c>
    </row>
    <row r="81" spans="3:17" x14ac:dyDescent="0.2">
      <c r="C81" s="1" t="s">
        <v>185</v>
      </c>
      <c r="D81" t="s">
        <v>324</v>
      </c>
      <c r="E81" t="s">
        <v>326</v>
      </c>
      <c r="F81" s="1" t="s">
        <v>403</v>
      </c>
      <c r="H81" s="12" t="s">
        <v>70</v>
      </c>
      <c r="I81" s="11" t="s">
        <v>1003</v>
      </c>
      <c r="J81" s="12" t="s">
        <v>84</v>
      </c>
      <c r="K81" s="13">
        <v>15.2</v>
      </c>
      <c r="L81" s="12">
        <v>252</v>
      </c>
      <c r="M81" s="12">
        <v>495</v>
      </c>
      <c r="N81" s="12">
        <v>19.5</v>
      </c>
      <c r="O81" s="19">
        <v>296</v>
      </c>
      <c r="Q81" t="s">
        <v>561</v>
      </c>
    </row>
    <row r="82" spans="3:17" x14ac:dyDescent="0.2">
      <c r="C82" s="1" t="s">
        <v>186</v>
      </c>
      <c r="D82" t="s">
        <v>324</v>
      </c>
      <c r="E82" t="s">
        <v>326</v>
      </c>
      <c r="F82" s="1" t="s">
        <v>404</v>
      </c>
      <c r="H82" s="12" t="s">
        <v>71</v>
      </c>
      <c r="I82" s="11" t="s">
        <v>1004</v>
      </c>
      <c r="J82" s="12" t="s">
        <v>84</v>
      </c>
      <c r="K82" s="13">
        <v>15.9</v>
      </c>
      <c r="L82" s="12">
        <v>259</v>
      </c>
      <c r="M82" s="12">
        <v>530</v>
      </c>
      <c r="N82" s="12">
        <v>19.5</v>
      </c>
      <c r="O82" s="19">
        <v>307.57</v>
      </c>
      <c r="Q82" t="s">
        <v>562</v>
      </c>
    </row>
    <row r="83" spans="3:17" x14ac:dyDescent="0.2">
      <c r="C83" s="1" t="s">
        <v>187</v>
      </c>
      <c r="D83" t="s">
        <v>324</v>
      </c>
      <c r="E83" t="s">
        <v>326</v>
      </c>
      <c r="F83" s="1" t="s">
        <v>405</v>
      </c>
      <c r="H83" s="12" t="s">
        <v>72</v>
      </c>
      <c r="I83" s="11" t="s">
        <v>1005</v>
      </c>
      <c r="J83" s="12" t="s">
        <v>84</v>
      </c>
      <c r="K83" s="13">
        <v>17.2</v>
      </c>
      <c r="L83" s="12">
        <v>326</v>
      </c>
      <c r="M83" s="12">
        <v>600</v>
      </c>
      <c r="N83" s="12">
        <v>19.5</v>
      </c>
      <c r="O83" s="19">
        <v>400.84</v>
      </c>
      <c r="Q83" t="s">
        <v>563</v>
      </c>
    </row>
    <row r="84" spans="3:17" x14ac:dyDescent="0.2">
      <c r="C84" s="1" t="s">
        <v>188</v>
      </c>
      <c r="D84" t="s">
        <v>324</v>
      </c>
      <c r="E84" t="s">
        <v>326</v>
      </c>
      <c r="F84" s="1" t="s">
        <v>406</v>
      </c>
      <c r="H84" s="12" t="s">
        <v>73</v>
      </c>
      <c r="I84" s="11" t="s">
        <v>1006</v>
      </c>
      <c r="J84" s="12" t="s">
        <v>84</v>
      </c>
      <c r="K84" s="13">
        <v>17.5</v>
      </c>
      <c r="L84" s="12">
        <v>346</v>
      </c>
      <c r="M84" s="12">
        <v>620</v>
      </c>
      <c r="N84" s="12">
        <v>19.5</v>
      </c>
      <c r="O84" s="19">
        <v>429</v>
      </c>
      <c r="Q84" t="s">
        <v>564</v>
      </c>
    </row>
    <row r="85" spans="3:17" x14ac:dyDescent="0.2">
      <c r="C85" s="1" t="s">
        <v>189</v>
      </c>
      <c r="D85" t="s">
        <v>324</v>
      </c>
      <c r="E85" t="s">
        <v>326</v>
      </c>
      <c r="F85" s="1" t="s">
        <v>407</v>
      </c>
      <c r="H85" s="12" t="s">
        <v>74</v>
      </c>
      <c r="I85" s="11" t="s">
        <v>1007</v>
      </c>
      <c r="J85" s="12" t="s">
        <v>84</v>
      </c>
      <c r="K85" s="13">
        <v>17.600000000000001</v>
      </c>
      <c r="L85" s="12">
        <v>355</v>
      </c>
      <c r="M85" s="12">
        <v>630</v>
      </c>
      <c r="N85" s="12">
        <v>19.5</v>
      </c>
      <c r="O85" s="19">
        <f>O84/36*37</f>
        <v>440.91666666666663</v>
      </c>
      <c r="Q85" t="s">
        <v>565</v>
      </c>
    </row>
    <row r="86" spans="3:17" x14ac:dyDescent="0.2">
      <c r="C86" s="1" t="s">
        <v>190</v>
      </c>
      <c r="D86" t="s">
        <v>324</v>
      </c>
      <c r="E86" t="s">
        <v>326</v>
      </c>
      <c r="F86" s="1" t="s">
        <v>408</v>
      </c>
      <c r="H86" s="12" t="s">
        <v>75</v>
      </c>
      <c r="I86" s="11" t="s">
        <v>1008</v>
      </c>
      <c r="J86" s="12" t="s">
        <v>84</v>
      </c>
      <c r="K86" s="13">
        <v>18.399999999999999</v>
      </c>
      <c r="L86" s="12">
        <v>384</v>
      </c>
      <c r="M86" s="12">
        <v>680</v>
      </c>
      <c r="N86" s="12">
        <v>19.5</v>
      </c>
      <c r="O86" s="19">
        <f>O88/42*40</f>
        <v>464.63809523809522</v>
      </c>
      <c r="Q86" t="s">
        <v>566</v>
      </c>
    </row>
    <row r="87" spans="3:17" x14ac:dyDescent="0.2">
      <c r="C87" s="1" t="s">
        <v>191</v>
      </c>
      <c r="D87" t="s">
        <v>324</v>
      </c>
      <c r="E87" t="s">
        <v>326</v>
      </c>
      <c r="F87" s="1" t="s">
        <v>409</v>
      </c>
      <c r="H87" s="12" t="s">
        <v>76</v>
      </c>
      <c r="I87" s="11" t="s">
        <v>1009</v>
      </c>
      <c r="J87" s="12" t="s">
        <v>84</v>
      </c>
      <c r="K87" s="13">
        <v>18.899999999999999</v>
      </c>
      <c r="L87" s="12">
        <v>394</v>
      </c>
      <c r="M87" s="12">
        <v>700</v>
      </c>
      <c r="N87" s="12">
        <v>19.5</v>
      </c>
      <c r="O87" s="19">
        <f>O88/42*41</f>
        <v>476.25404761904764</v>
      </c>
      <c r="Q87" t="s">
        <v>567</v>
      </c>
    </row>
    <row r="88" spans="3:17" x14ac:dyDescent="0.2">
      <c r="C88" s="1" t="s">
        <v>192</v>
      </c>
      <c r="D88" t="s">
        <v>324</v>
      </c>
      <c r="E88" t="s">
        <v>326</v>
      </c>
      <c r="F88" s="1" t="s">
        <v>410</v>
      </c>
      <c r="H88" s="12" t="s">
        <v>77</v>
      </c>
      <c r="I88" s="11" t="s">
        <v>1010</v>
      </c>
      <c r="J88" s="12" t="s">
        <v>84</v>
      </c>
      <c r="K88" s="13">
        <v>19</v>
      </c>
      <c r="L88" s="12">
        <v>403</v>
      </c>
      <c r="M88" s="12">
        <v>720</v>
      </c>
      <c r="N88" s="12">
        <v>19.5</v>
      </c>
      <c r="O88" s="19">
        <v>487.87</v>
      </c>
      <c r="Q88" t="s">
        <v>568</v>
      </c>
    </row>
    <row r="89" spans="3:17" x14ac:dyDescent="0.2">
      <c r="C89" s="1" t="s">
        <v>193</v>
      </c>
      <c r="D89" t="s">
        <v>324</v>
      </c>
      <c r="E89" t="s">
        <v>326</v>
      </c>
      <c r="F89" s="1" t="s">
        <v>411</v>
      </c>
      <c r="H89" s="12" t="s">
        <v>78</v>
      </c>
      <c r="I89" s="11" t="s">
        <v>1011</v>
      </c>
      <c r="J89" s="12" t="s">
        <v>84</v>
      </c>
      <c r="K89" s="13">
        <v>20.9</v>
      </c>
      <c r="L89" s="12">
        <v>480</v>
      </c>
      <c r="M89" s="12">
        <v>925</v>
      </c>
      <c r="N89" s="12">
        <v>19.5</v>
      </c>
      <c r="O89" s="19">
        <v>668.43</v>
      </c>
      <c r="Q89" t="s">
        <v>569</v>
      </c>
    </row>
    <row r="90" spans="3:17" x14ac:dyDescent="0.2">
      <c r="C90" s="1" t="s">
        <v>194</v>
      </c>
      <c r="D90" t="s">
        <v>324</v>
      </c>
      <c r="E90" t="s">
        <v>326</v>
      </c>
      <c r="F90" s="1" t="s">
        <v>412</v>
      </c>
      <c r="H90" s="12" t="s">
        <v>79</v>
      </c>
      <c r="I90" s="11" t="s">
        <v>1012</v>
      </c>
      <c r="J90" s="12" t="s">
        <v>84</v>
      </c>
      <c r="K90" s="13">
        <v>21.6</v>
      </c>
      <c r="L90" s="12">
        <v>538</v>
      </c>
      <c r="M90" s="12">
        <v>1020</v>
      </c>
      <c r="N90" s="12">
        <v>19.5</v>
      </c>
      <c r="O90" s="19" t="s">
        <v>904</v>
      </c>
      <c r="Q90" t="s">
        <v>570</v>
      </c>
    </row>
    <row r="91" spans="3:17" x14ac:dyDescent="0.2">
      <c r="C91" s="1" t="s">
        <v>195</v>
      </c>
      <c r="D91" t="s">
        <v>324</v>
      </c>
      <c r="E91" t="s">
        <v>326</v>
      </c>
      <c r="F91" s="1" t="s">
        <v>413</v>
      </c>
      <c r="H91" s="12" t="s">
        <v>80</v>
      </c>
      <c r="I91" s="11" t="s">
        <v>1013</v>
      </c>
      <c r="J91" s="12" t="s">
        <v>84</v>
      </c>
      <c r="K91" s="13">
        <v>22.5</v>
      </c>
      <c r="L91" s="12">
        <v>586</v>
      </c>
      <c r="M91" s="12">
        <v>1100</v>
      </c>
      <c r="N91" s="12">
        <v>19.5</v>
      </c>
      <c r="O91" s="19" t="s">
        <v>904</v>
      </c>
      <c r="Q91" t="s">
        <v>571</v>
      </c>
    </row>
    <row r="92" spans="3:17" x14ac:dyDescent="0.2">
      <c r="C92" s="1" t="s">
        <v>196</v>
      </c>
      <c r="D92" t="s">
        <v>324</v>
      </c>
      <c r="E92" t="s">
        <v>326</v>
      </c>
      <c r="F92" s="1" t="s">
        <v>414</v>
      </c>
      <c r="H92" s="12" t="s">
        <v>81</v>
      </c>
      <c r="I92" s="11" t="s">
        <v>1014</v>
      </c>
      <c r="J92" s="12" t="s">
        <v>84</v>
      </c>
      <c r="K92" s="13">
        <v>23.4</v>
      </c>
      <c r="L92" s="12">
        <v>624</v>
      </c>
      <c r="M92" s="12">
        <v>1170</v>
      </c>
      <c r="N92" s="12">
        <v>19.5</v>
      </c>
      <c r="O92" s="19" t="s">
        <v>904</v>
      </c>
      <c r="Q92" t="s">
        <v>572</v>
      </c>
    </row>
    <row r="93" spans="3:17" x14ac:dyDescent="0.2">
      <c r="C93" s="1" t="s">
        <v>197</v>
      </c>
      <c r="D93" t="s">
        <v>324</v>
      </c>
      <c r="E93" t="s">
        <v>326</v>
      </c>
      <c r="F93" s="1" t="s">
        <v>415</v>
      </c>
      <c r="H93" s="12" t="s">
        <v>82</v>
      </c>
      <c r="I93" s="11" t="s">
        <v>1015</v>
      </c>
      <c r="J93" s="12" t="s">
        <v>84</v>
      </c>
      <c r="K93" s="13">
        <v>25.7</v>
      </c>
      <c r="L93" s="12">
        <v>786</v>
      </c>
      <c r="M93" s="12">
        <v>1300</v>
      </c>
      <c r="N93" s="12">
        <v>19.5</v>
      </c>
      <c r="O93" s="19">
        <v>1013.12</v>
      </c>
      <c r="Q93" t="s">
        <v>573</v>
      </c>
    </row>
    <row r="94" spans="3:17" x14ac:dyDescent="0.2">
      <c r="C94" s="1" t="s">
        <v>198</v>
      </c>
      <c r="D94" t="s">
        <v>324</v>
      </c>
      <c r="E94" t="s">
        <v>326</v>
      </c>
      <c r="F94" s="1" t="s">
        <v>416</v>
      </c>
      <c r="H94" s="12" t="s">
        <v>83</v>
      </c>
      <c r="I94" s="11" t="s">
        <v>1016</v>
      </c>
      <c r="J94" s="12" t="s">
        <v>84</v>
      </c>
      <c r="K94" s="13">
        <v>28.6</v>
      </c>
      <c r="L94" s="12">
        <v>960</v>
      </c>
      <c r="M94" s="12">
        <v>1630</v>
      </c>
      <c r="N94" s="12">
        <v>19.5</v>
      </c>
      <c r="O94" s="19" t="s">
        <v>904</v>
      </c>
      <c r="Q94" t="s">
        <v>574</v>
      </c>
    </row>
    <row r="95" spans="3:17" ht="3.6" customHeight="1" x14ac:dyDescent="0.2">
      <c r="H95" s="15"/>
      <c r="I95" s="16"/>
      <c r="J95" s="15"/>
      <c r="K95" s="17"/>
      <c r="L95" s="15"/>
      <c r="M95" s="15"/>
      <c r="N95" s="15"/>
      <c r="O95" s="20"/>
    </row>
    <row r="96" spans="3:17" x14ac:dyDescent="0.2">
      <c r="C96" s="1" t="s">
        <v>114</v>
      </c>
      <c r="D96" t="s">
        <v>323</v>
      </c>
      <c r="E96" t="s">
        <v>325</v>
      </c>
      <c r="F96" s="1" t="s">
        <v>330</v>
      </c>
      <c r="H96" s="12" t="s">
        <v>205</v>
      </c>
      <c r="I96" s="11" t="s">
        <v>1017</v>
      </c>
      <c r="J96" s="12" t="s">
        <v>220</v>
      </c>
      <c r="K96" s="13">
        <v>6.6</v>
      </c>
      <c r="L96" s="12">
        <v>28.8</v>
      </c>
      <c r="M96" s="12">
        <v>100</v>
      </c>
      <c r="N96" s="12">
        <v>13.3</v>
      </c>
      <c r="O96" s="19">
        <v>31.55</v>
      </c>
      <c r="Q96" t="s">
        <v>575</v>
      </c>
    </row>
    <row r="97" spans="3:17" x14ac:dyDescent="0.2">
      <c r="C97" s="1" t="s">
        <v>115</v>
      </c>
      <c r="D97" t="s">
        <v>324</v>
      </c>
      <c r="E97" t="s">
        <v>326</v>
      </c>
      <c r="F97" s="1" t="s">
        <v>417</v>
      </c>
      <c r="H97" s="12" t="s">
        <v>206</v>
      </c>
      <c r="I97" s="11" t="s">
        <v>1018</v>
      </c>
      <c r="J97" s="12" t="s">
        <v>220</v>
      </c>
      <c r="K97" s="13">
        <v>6.8</v>
      </c>
      <c r="L97" s="12">
        <v>43.2</v>
      </c>
      <c r="M97" s="12">
        <v>110</v>
      </c>
      <c r="N97" s="12">
        <v>13.3</v>
      </c>
      <c r="O97" s="19">
        <v>45.25</v>
      </c>
      <c r="Q97" t="s">
        <v>576</v>
      </c>
    </row>
    <row r="98" spans="3:17" x14ac:dyDescent="0.2">
      <c r="C98" s="1" t="s">
        <v>116</v>
      </c>
      <c r="D98" t="s">
        <v>324</v>
      </c>
      <c r="E98" t="s">
        <v>326</v>
      </c>
      <c r="F98" s="1" t="s">
        <v>418</v>
      </c>
      <c r="H98" s="12" t="s">
        <v>207</v>
      </c>
      <c r="I98" s="11" t="s">
        <v>1019</v>
      </c>
      <c r="J98" s="12" t="s">
        <v>220</v>
      </c>
      <c r="K98" s="13">
        <v>7.4</v>
      </c>
      <c r="L98" s="12">
        <v>57.6</v>
      </c>
      <c r="M98" s="12">
        <v>125</v>
      </c>
      <c r="N98" s="12">
        <v>13.3</v>
      </c>
      <c r="O98" s="19">
        <v>58.05</v>
      </c>
      <c r="Q98" t="s">
        <v>577</v>
      </c>
    </row>
    <row r="99" spans="3:17" x14ac:dyDescent="0.2">
      <c r="C99" s="1" t="s">
        <v>117</v>
      </c>
      <c r="D99" t="s">
        <v>324</v>
      </c>
      <c r="E99" t="s">
        <v>326</v>
      </c>
      <c r="F99" s="1" t="s">
        <v>419</v>
      </c>
      <c r="H99" s="12" t="s">
        <v>208</v>
      </c>
      <c r="I99" s="11" t="s">
        <v>1020</v>
      </c>
      <c r="J99" s="12" t="s">
        <v>220</v>
      </c>
      <c r="K99" s="13">
        <v>8.3000000000000007</v>
      </c>
      <c r="L99" s="13">
        <v>72</v>
      </c>
      <c r="M99" s="12">
        <v>145</v>
      </c>
      <c r="N99" s="12">
        <v>13.3</v>
      </c>
      <c r="O99" s="19">
        <v>73.290000000000006</v>
      </c>
      <c r="Q99" t="s">
        <v>578</v>
      </c>
    </row>
    <row r="100" spans="3:17" x14ac:dyDescent="0.2">
      <c r="C100" s="1" t="s">
        <v>118</v>
      </c>
      <c r="D100" t="s">
        <v>324</v>
      </c>
      <c r="E100" t="s">
        <v>326</v>
      </c>
      <c r="F100" s="1" t="s">
        <v>420</v>
      </c>
      <c r="H100" s="12" t="s">
        <v>209</v>
      </c>
      <c r="I100" s="11" t="s">
        <v>1021</v>
      </c>
      <c r="J100" s="12" t="s">
        <v>220</v>
      </c>
      <c r="K100" s="13">
        <v>9</v>
      </c>
      <c r="L100" s="12">
        <v>86.4</v>
      </c>
      <c r="M100" s="12">
        <v>170</v>
      </c>
      <c r="N100" s="12">
        <v>13.3</v>
      </c>
      <c r="O100" s="19">
        <v>92</v>
      </c>
      <c r="Q100" t="s">
        <v>579</v>
      </c>
    </row>
    <row r="101" spans="3:17" x14ac:dyDescent="0.2">
      <c r="C101" s="1" t="s">
        <v>119</v>
      </c>
      <c r="D101" t="s">
        <v>324</v>
      </c>
      <c r="E101" t="s">
        <v>326</v>
      </c>
      <c r="F101" s="1" t="s">
        <v>421</v>
      </c>
      <c r="H101" s="12" t="s">
        <v>210</v>
      </c>
      <c r="I101" s="11" t="s">
        <v>1022</v>
      </c>
      <c r="J101" s="12" t="s">
        <v>220</v>
      </c>
      <c r="K101" s="13">
        <v>9.1</v>
      </c>
      <c r="L101" s="12">
        <v>101</v>
      </c>
      <c r="M101" s="12">
        <v>195</v>
      </c>
      <c r="N101" s="12">
        <v>13.3</v>
      </c>
      <c r="O101" s="19">
        <v>104.86</v>
      </c>
      <c r="Q101" t="s">
        <v>580</v>
      </c>
    </row>
    <row r="102" spans="3:17" x14ac:dyDescent="0.2">
      <c r="C102" s="1" t="s">
        <v>120</v>
      </c>
      <c r="D102" t="s">
        <v>324</v>
      </c>
      <c r="E102" t="s">
        <v>326</v>
      </c>
      <c r="F102" s="1" t="s">
        <v>422</v>
      </c>
      <c r="H102" s="12" t="s">
        <v>211</v>
      </c>
      <c r="I102" s="11" t="s">
        <v>1023</v>
      </c>
      <c r="J102" s="12" t="s">
        <v>220</v>
      </c>
      <c r="K102" s="13">
        <v>10.9</v>
      </c>
      <c r="L102" s="12">
        <v>115</v>
      </c>
      <c r="M102" s="12">
        <v>215</v>
      </c>
      <c r="N102" s="12">
        <v>13.3</v>
      </c>
      <c r="O102" s="19">
        <v>120.74</v>
      </c>
      <c r="Q102" t="s">
        <v>581</v>
      </c>
    </row>
    <row r="103" spans="3:17" x14ac:dyDescent="0.2">
      <c r="C103" s="1" t="s">
        <v>121</v>
      </c>
      <c r="D103" t="s">
        <v>324</v>
      </c>
      <c r="E103" t="s">
        <v>326</v>
      </c>
      <c r="F103" s="1" t="s">
        <v>423</v>
      </c>
      <c r="H103" s="12" t="s">
        <v>212</v>
      </c>
      <c r="I103" s="11" t="s">
        <v>1024</v>
      </c>
      <c r="J103" s="12" t="s">
        <v>220</v>
      </c>
      <c r="K103" s="13">
        <v>11.7</v>
      </c>
      <c r="L103" s="12">
        <v>129</v>
      </c>
      <c r="M103" s="12">
        <v>230</v>
      </c>
      <c r="N103" s="12">
        <v>13.3</v>
      </c>
      <c r="O103" s="19">
        <v>137.97</v>
      </c>
      <c r="Q103" t="s">
        <v>582</v>
      </c>
    </row>
    <row r="104" spans="3:17" x14ac:dyDescent="0.2">
      <c r="C104" s="1" t="s">
        <v>122</v>
      </c>
      <c r="D104" t="s">
        <v>324</v>
      </c>
      <c r="E104" t="s">
        <v>326</v>
      </c>
      <c r="F104" s="1" t="s">
        <v>424</v>
      </c>
      <c r="H104" s="12" t="s">
        <v>213</v>
      </c>
      <c r="I104" s="11" t="s">
        <v>1025</v>
      </c>
      <c r="J104" s="12" t="s">
        <v>220</v>
      </c>
      <c r="K104" s="13">
        <v>11.8</v>
      </c>
      <c r="L104" s="12">
        <v>144</v>
      </c>
      <c r="M104" s="12">
        <v>260</v>
      </c>
      <c r="N104" s="12">
        <v>13.3</v>
      </c>
      <c r="O104" s="19">
        <v>155.62</v>
      </c>
      <c r="Q104" t="s">
        <v>583</v>
      </c>
    </row>
    <row r="105" spans="3:17" x14ac:dyDescent="0.2">
      <c r="C105" s="1" t="s">
        <v>123</v>
      </c>
      <c r="D105" t="s">
        <v>324</v>
      </c>
      <c r="E105" t="s">
        <v>326</v>
      </c>
      <c r="F105" s="1" t="s">
        <v>425</v>
      </c>
      <c r="H105" s="12" t="s">
        <v>214</v>
      </c>
      <c r="I105" s="11" t="s">
        <v>1026</v>
      </c>
      <c r="J105" s="12" t="s">
        <v>220</v>
      </c>
      <c r="K105" s="13">
        <v>12.4</v>
      </c>
      <c r="L105" s="12">
        <v>173</v>
      </c>
      <c r="M105" s="12">
        <v>310</v>
      </c>
      <c r="N105" s="12">
        <v>13.3</v>
      </c>
      <c r="O105" s="19">
        <v>179.67</v>
      </c>
      <c r="Q105" t="s">
        <v>584</v>
      </c>
    </row>
    <row r="106" spans="3:17" x14ac:dyDescent="0.2">
      <c r="C106" s="1" t="s">
        <v>199</v>
      </c>
      <c r="D106" t="s">
        <v>324</v>
      </c>
      <c r="E106" t="s">
        <v>326</v>
      </c>
      <c r="F106" s="1" t="s">
        <v>426</v>
      </c>
      <c r="H106" s="12" t="s">
        <v>215</v>
      </c>
      <c r="I106" s="11" t="s">
        <v>1027</v>
      </c>
      <c r="J106" s="12" t="s">
        <v>220</v>
      </c>
      <c r="K106" s="13">
        <v>12.9</v>
      </c>
      <c r="L106" s="12">
        <v>202</v>
      </c>
      <c r="M106" s="12">
        <v>360</v>
      </c>
      <c r="N106" s="12">
        <v>13.3</v>
      </c>
      <c r="O106" s="19">
        <v>212.53</v>
      </c>
      <c r="Q106" t="s">
        <v>585</v>
      </c>
    </row>
    <row r="107" spans="3:17" x14ac:dyDescent="0.2">
      <c r="C107" s="1" t="s">
        <v>200</v>
      </c>
      <c r="D107" t="s">
        <v>324</v>
      </c>
      <c r="E107" t="s">
        <v>326</v>
      </c>
      <c r="F107" s="1" t="s">
        <v>427</v>
      </c>
      <c r="H107" s="12" t="s">
        <v>216</v>
      </c>
      <c r="I107" s="11" t="s">
        <v>1028</v>
      </c>
      <c r="J107" s="12" t="s">
        <v>220</v>
      </c>
      <c r="K107" s="13">
        <v>13.8</v>
      </c>
      <c r="L107" s="12">
        <v>230</v>
      </c>
      <c r="M107" s="12">
        <v>390</v>
      </c>
      <c r="N107" s="12">
        <v>13.3</v>
      </c>
      <c r="O107" s="19">
        <v>251.92</v>
      </c>
      <c r="Q107" t="s">
        <v>586</v>
      </c>
    </row>
    <row r="108" spans="3:17" x14ac:dyDescent="0.2">
      <c r="C108" s="1" t="s">
        <v>201</v>
      </c>
      <c r="D108" t="s">
        <v>324</v>
      </c>
      <c r="E108" t="s">
        <v>326</v>
      </c>
      <c r="F108" s="1" t="s">
        <v>428</v>
      </c>
      <c r="H108" s="12" t="s">
        <v>217</v>
      </c>
      <c r="I108" s="11" t="s">
        <v>1029</v>
      </c>
      <c r="J108" s="12" t="s">
        <v>220</v>
      </c>
      <c r="K108" s="13">
        <v>14.8</v>
      </c>
      <c r="L108" s="12">
        <v>259</v>
      </c>
      <c r="M108" s="12">
        <v>420</v>
      </c>
      <c r="N108" s="12">
        <v>13.3</v>
      </c>
      <c r="O108" s="19">
        <v>283.94</v>
      </c>
      <c r="Q108" t="s">
        <v>587</v>
      </c>
    </row>
    <row r="109" spans="3:17" x14ac:dyDescent="0.2">
      <c r="C109" s="1" t="s">
        <v>202</v>
      </c>
      <c r="D109" t="s">
        <v>324</v>
      </c>
      <c r="E109" t="s">
        <v>326</v>
      </c>
      <c r="F109" s="1" t="s">
        <v>429</v>
      </c>
      <c r="H109" s="12" t="s">
        <v>218</v>
      </c>
      <c r="I109" s="11" t="s">
        <v>1030</v>
      </c>
      <c r="J109" s="12" t="s">
        <v>220</v>
      </c>
      <c r="K109" s="13">
        <v>14.9</v>
      </c>
      <c r="L109" s="12">
        <v>279</v>
      </c>
      <c r="M109" s="12">
        <v>440</v>
      </c>
      <c r="N109" s="12">
        <v>13.3</v>
      </c>
      <c r="O109" s="19">
        <f>O108*19/18</f>
        <v>299.71444444444444</v>
      </c>
      <c r="Q109" t="s">
        <v>588</v>
      </c>
    </row>
    <row r="110" spans="3:17" x14ac:dyDescent="0.2">
      <c r="C110" s="1" t="s">
        <v>203</v>
      </c>
      <c r="D110" t="s">
        <v>324</v>
      </c>
      <c r="E110" t="s">
        <v>326</v>
      </c>
      <c r="F110" s="1" t="s">
        <v>430</v>
      </c>
      <c r="H110" s="12" t="s">
        <v>219</v>
      </c>
      <c r="I110" s="11" t="s">
        <v>1031</v>
      </c>
      <c r="J110" s="12" t="s">
        <v>220</v>
      </c>
      <c r="K110" s="13">
        <v>16</v>
      </c>
      <c r="L110" s="12">
        <v>302</v>
      </c>
      <c r="M110" s="12">
        <v>535</v>
      </c>
      <c r="N110" s="12">
        <v>13.3</v>
      </c>
      <c r="O110" s="19">
        <v>321.95999999999998</v>
      </c>
      <c r="Q110" t="s">
        <v>589</v>
      </c>
    </row>
    <row r="111" spans="3:17" x14ac:dyDescent="0.2">
      <c r="C111" s="1" t="s">
        <v>221</v>
      </c>
      <c r="D111" t="s">
        <v>324</v>
      </c>
      <c r="E111" t="s">
        <v>326</v>
      </c>
      <c r="F111" s="1" t="s">
        <v>431</v>
      </c>
      <c r="H111" s="12" t="s">
        <v>265</v>
      </c>
      <c r="I111" s="11" t="s">
        <v>1032</v>
      </c>
      <c r="J111" s="12" t="s">
        <v>220</v>
      </c>
      <c r="K111" s="13">
        <v>17.2</v>
      </c>
      <c r="L111" s="12">
        <v>360</v>
      </c>
      <c r="M111" s="12">
        <v>600</v>
      </c>
      <c r="N111" s="12">
        <v>13.3</v>
      </c>
      <c r="O111" s="19">
        <v>399.4</v>
      </c>
      <c r="Q111" t="s">
        <v>590</v>
      </c>
    </row>
    <row r="112" spans="3:17" x14ac:dyDescent="0.2">
      <c r="C112" s="1" t="s">
        <v>222</v>
      </c>
      <c r="D112" t="s">
        <v>324</v>
      </c>
      <c r="E112" t="s">
        <v>326</v>
      </c>
      <c r="F112" s="1" t="s">
        <v>432</v>
      </c>
      <c r="H112" s="12" t="s">
        <v>266</v>
      </c>
      <c r="I112" s="11" t="s">
        <v>1033</v>
      </c>
      <c r="J112" s="12" t="s">
        <v>220</v>
      </c>
      <c r="K112" s="13">
        <v>18.8</v>
      </c>
      <c r="L112" s="12">
        <v>432</v>
      </c>
      <c r="M112" s="12">
        <v>660</v>
      </c>
      <c r="N112" s="12">
        <v>13.3</v>
      </c>
      <c r="O112" s="19">
        <v>438</v>
      </c>
      <c r="Q112" t="s">
        <v>591</v>
      </c>
    </row>
    <row r="113" spans="3:17" x14ac:dyDescent="0.2">
      <c r="C113" s="1" t="s">
        <v>223</v>
      </c>
      <c r="D113" t="s">
        <v>324</v>
      </c>
      <c r="E113" t="s">
        <v>326</v>
      </c>
      <c r="F113" s="1" t="s">
        <v>433</v>
      </c>
      <c r="H113" s="12" t="s">
        <v>267</v>
      </c>
      <c r="I113" s="11" t="s">
        <v>1034</v>
      </c>
      <c r="J113" s="12" t="s">
        <v>220</v>
      </c>
      <c r="K113" s="13">
        <v>19.8</v>
      </c>
      <c r="L113" s="12">
        <v>490</v>
      </c>
      <c r="M113" s="12">
        <v>730</v>
      </c>
      <c r="N113" s="12">
        <v>13.3</v>
      </c>
      <c r="O113" s="19">
        <v>562.38</v>
      </c>
      <c r="Q113" t="s">
        <v>592</v>
      </c>
    </row>
    <row r="114" spans="3:17" x14ac:dyDescent="0.2">
      <c r="C114" s="1" t="s">
        <v>224</v>
      </c>
      <c r="D114" t="s">
        <v>324</v>
      </c>
      <c r="E114" t="s">
        <v>326</v>
      </c>
      <c r="F114" s="1" t="s">
        <v>434</v>
      </c>
      <c r="H114" s="12" t="s">
        <v>268</v>
      </c>
      <c r="I114" s="11" t="s">
        <v>1035</v>
      </c>
      <c r="J114" s="12" t="s">
        <v>220</v>
      </c>
      <c r="K114" s="13">
        <v>21.6</v>
      </c>
      <c r="L114" s="12">
        <v>576</v>
      </c>
      <c r="M114" s="12">
        <v>895</v>
      </c>
      <c r="N114" s="12">
        <v>13.3</v>
      </c>
      <c r="O114" s="19">
        <f>O115/42*40</f>
        <v>626.27619047619055</v>
      </c>
      <c r="Q114" t="s">
        <v>593</v>
      </c>
    </row>
    <row r="115" spans="3:17" x14ac:dyDescent="0.2">
      <c r="C115" s="1" t="s">
        <v>225</v>
      </c>
      <c r="D115" t="s">
        <v>324</v>
      </c>
      <c r="E115" t="s">
        <v>326</v>
      </c>
      <c r="F115" s="1" t="s">
        <v>435</v>
      </c>
      <c r="H115" s="12" t="s">
        <v>269</v>
      </c>
      <c r="I115" s="11" t="s">
        <v>1036</v>
      </c>
      <c r="J115" s="12" t="s">
        <v>220</v>
      </c>
      <c r="K115" s="13">
        <v>21.6</v>
      </c>
      <c r="L115" s="12">
        <v>605</v>
      </c>
      <c r="M115" s="12">
        <v>900</v>
      </c>
      <c r="N115" s="12">
        <v>13.3</v>
      </c>
      <c r="O115" s="19">
        <v>657.59</v>
      </c>
      <c r="Q115" t="s">
        <v>594</v>
      </c>
    </row>
    <row r="116" spans="3:17" x14ac:dyDescent="0.2">
      <c r="C116" s="1" t="s">
        <v>226</v>
      </c>
      <c r="D116" t="s">
        <v>324</v>
      </c>
      <c r="E116" t="s">
        <v>326</v>
      </c>
      <c r="F116" s="1" t="s">
        <v>436</v>
      </c>
      <c r="H116" s="12" t="s">
        <v>270</v>
      </c>
      <c r="I116" s="11" t="s">
        <v>1037</v>
      </c>
      <c r="J116" s="12" t="s">
        <v>220</v>
      </c>
      <c r="K116" s="13">
        <v>23.8</v>
      </c>
      <c r="L116" s="12">
        <v>720</v>
      </c>
      <c r="M116" s="12">
        <v>1060</v>
      </c>
      <c r="N116" s="12">
        <v>13.3</v>
      </c>
      <c r="O116" s="19">
        <v>951.27</v>
      </c>
      <c r="Q116" t="s">
        <v>595</v>
      </c>
    </row>
    <row r="117" spans="3:17" x14ac:dyDescent="0.2">
      <c r="C117" s="1" t="s">
        <v>227</v>
      </c>
      <c r="D117" t="s">
        <v>324</v>
      </c>
      <c r="E117" t="s">
        <v>326</v>
      </c>
      <c r="F117" s="1" t="s">
        <v>437</v>
      </c>
      <c r="H117" s="12" t="s">
        <v>271</v>
      </c>
      <c r="I117" s="11" t="s">
        <v>1038</v>
      </c>
      <c r="J117" s="12" t="s">
        <v>220</v>
      </c>
      <c r="K117" s="13">
        <v>25.2</v>
      </c>
      <c r="L117" s="12">
        <v>806</v>
      </c>
      <c r="M117" s="12">
        <v>1200</v>
      </c>
      <c r="N117" s="12">
        <v>13.3</v>
      </c>
      <c r="O117" s="19">
        <v>1067</v>
      </c>
      <c r="Q117" t="s">
        <v>596</v>
      </c>
    </row>
    <row r="118" spans="3:17" x14ac:dyDescent="0.2">
      <c r="C118" s="1" t="s">
        <v>228</v>
      </c>
      <c r="D118" t="s">
        <v>324</v>
      </c>
      <c r="E118" t="s">
        <v>326</v>
      </c>
      <c r="F118" s="1" t="s">
        <v>438</v>
      </c>
      <c r="H118" s="12" t="s">
        <v>272</v>
      </c>
      <c r="I118" s="11" t="s">
        <v>1039</v>
      </c>
      <c r="J118" s="12" t="s">
        <v>220</v>
      </c>
      <c r="K118" s="13">
        <v>25.6</v>
      </c>
      <c r="L118" s="12">
        <v>878</v>
      </c>
      <c r="M118" s="12">
        <v>1320</v>
      </c>
      <c r="N118" s="12">
        <v>13.3</v>
      </c>
      <c r="O118" s="19">
        <v>1181.8399999999999</v>
      </c>
      <c r="Q118" t="s">
        <v>597</v>
      </c>
    </row>
    <row r="119" spans="3:17" x14ac:dyDescent="0.2">
      <c r="C119" s="1" t="s">
        <v>229</v>
      </c>
      <c r="D119" t="s">
        <v>324</v>
      </c>
      <c r="E119" t="s">
        <v>326</v>
      </c>
      <c r="F119" s="1" t="s">
        <v>439</v>
      </c>
      <c r="H119" s="12" t="s">
        <v>273</v>
      </c>
      <c r="I119" s="11" t="s">
        <v>1040</v>
      </c>
      <c r="J119" s="12" t="s">
        <v>220</v>
      </c>
      <c r="K119" s="13">
        <v>26.9</v>
      </c>
      <c r="L119" s="12">
        <v>936</v>
      </c>
      <c r="M119" s="12">
        <v>1440</v>
      </c>
      <c r="N119" s="12">
        <v>13.3</v>
      </c>
      <c r="O119" s="19" t="s">
        <v>904</v>
      </c>
      <c r="Q119" t="s">
        <v>598</v>
      </c>
    </row>
    <row r="120" spans="3:17" x14ac:dyDescent="0.2">
      <c r="C120" s="1" t="s">
        <v>230</v>
      </c>
      <c r="D120" t="s">
        <v>324</v>
      </c>
      <c r="E120" t="s">
        <v>326</v>
      </c>
      <c r="F120" s="1" t="s">
        <v>440</v>
      </c>
      <c r="H120" s="12" t="s">
        <v>274</v>
      </c>
      <c r="I120" s="11" t="s">
        <v>1041</v>
      </c>
      <c r="J120" s="12" t="s">
        <v>220</v>
      </c>
      <c r="K120" s="13">
        <v>29.4</v>
      </c>
      <c r="L120" s="12">
        <v>1152</v>
      </c>
      <c r="M120" s="12">
        <v>1750</v>
      </c>
      <c r="N120" s="12">
        <v>13.3</v>
      </c>
      <c r="O120" s="19" t="s">
        <v>904</v>
      </c>
      <c r="Q120" t="s">
        <v>599</v>
      </c>
    </row>
    <row r="121" spans="3:17" x14ac:dyDescent="0.2">
      <c r="C121" s="1" t="s">
        <v>231</v>
      </c>
      <c r="D121" t="s">
        <v>324</v>
      </c>
      <c r="E121" t="s">
        <v>326</v>
      </c>
      <c r="F121" s="1" t="s">
        <v>441</v>
      </c>
      <c r="H121" s="12" t="s">
        <v>275</v>
      </c>
      <c r="I121" s="11" t="s">
        <v>1042</v>
      </c>
      <c r="J121" s="12" t="s">
        <v>220</v>
      </c>
      <c r="K121" s="13">
        <v>32.799999999999997</v>
      </c>
      <c r="L121" s="12">
        <v>1440</v>
      </c>
      <c r="M121" s="12">
        <v>2355</v>
      </c>
      <c r="N121" s="12">
        <v>13.3</v>
      </c>
      <c r="O121" s="19" t="s">
        <v>904</v>
      </c>
      <c r="Q121" t="s">
        <v>600</v>
      </c>
    </row>
    <row r="122" spans="3:17" ht="3.6" customHeight="1" x14ac:dyDescent="0.2">
      <c r="H122" s="15"/>
      <c r="I122" s="16"/>
      <c r="J122" s="15"/>
      <c r="K122" s="17"/>
      <c r="L122" s="15"/>
      <c r="M122" s="15"/>
      <c r="N122" s="15"/>
      <c r="O122" s="20"/>
    </row>
    <row r="123" spans="3:17" x14ac:dyDescent="0.2">
      <c r="C123" s="1" t="s">
        <v>124</v>
      </c>
      <c r="D123" t="s">
        <v>323</v>
      </c>
      <c r="E123" t="s">
        <v>325</v>
      </c>
      <c r="F123" s="1" t="s">
        <v>331</v>
      </c>
      <c r="H123" s="12" t="s">
        <v>276</v>
      </c>
      <c r="I123" s="11" t="s">
        <v>1043</v>
      </c>
      <c r="J123" s="12" t="s">
        <v>316</v>
      </c>
      <c r="K123" s="13">
        <v>7.7</v>
      </c>
      <c r="L123" s="13">
        <v>48</v>
      </c>
      <c r="M123" s="12">
        <v>120</v>
      </c>
      <c r="N123" s="12">
        <v>7.98</v>
      </c>
      <c r="O123" s="19">
        <v>51.69</v>
      </c>
      <c r="Q123" t="s">
        <v>601</v>
      </c>
    </row>
    <row r="124" spans="3:17" x14ac:dyDescent="0.2">
      <c r="C124" s="1" t="s">
        <v>125</v>
      </c>
      <c r="D124" t="s">
        <v>324</v>
      </c>
      <c r="E124" t="s">
        <v>326</v>
      </c>
      <c r="F124" s="1" t="s">
        <v>442</v>
      </c>
      <c r="H124" s="12" t="s">
        <v>277</v>
      </c>
      <c r="I124" s="11" t="s">
        <v>1044</v>
      </c>
      <c r="J124" s="12" t="s">
        <v>316</v>
      </c>
      <c r="K124" s="13">
        <v>8.3000000000000007</v>
      </c>
      <c r="L124" s="13">
        <v>72</v>
      </c>
      <c r="M124" s="12">
        <v>170</v>
      </c>
      <c r="N124" s="12">
        <v>7.98</v>
      </c>
      <c r="O124" s="19">
        <v>74.2</v>
      </c>
      <c r="Q124" t="s">
        <v>602</v>
      </c>
    </row>
    <row r="125" spans="3:17" x14ac:dyDescent="0.2">
      <c r="C125" s="1" t="s">
        <v>126</v>
      </c>
      <c r="D125" t="s">
        <v>324</v>
      </c>
      <c r="E125" t="s">
        <v>326</v>
      </c>
      <c r="F125" s="1" t="s">
        <v>443</v>
      </c>
      <c r="H125" s="12" t="s">
        <v>278</v>
      </c>
      <c r="I125" s="11" t="s">
        <v>1045</v>
      </c>
      <c r="J125" s="12" t="s">
        <v>316</v>
      </c>
      <c r="K125" s="13">
        <v>9.1</v>
      </c>
      <c r="L125" s="13">
        <v>96</v>
      </c>
      <c r="M125" s="12">
        <v>180</v>
      </c>
      <c r="N125" s="12">
        <v>7.98</v>
      </c>
      <c r="O125" s="19">
        <v>97.12</v>
      </c>
      <c r="Q125" t="s">
        <v>603</v>
      </c>
    </row>
    <row r="126" spans="3:17" x14ac:dyDescent="0.2">
      <c r="C126" s="1" t="s">
        <v>127</v>
      </c>
      <c r="D126" t="s">
        <v>324</v>
      </c>
      <c r="E126" t="s">
        <v>326</v>
      </c>
      <c r="F126" s="1" t="s">
        <v>444</v>
      </c>
      <c r="H126" s="12" t="s">
        <v>279</v>
      </c>
      <c r="I126" s="11" t="s">
        <v>1046</v>
      </c>
      <c r="J126" s="12" t="s">
        <v>316</v>
      </c>
      <c r="K126" s="13">
        <v>10.199999999999999</v>
      </c>
      <c r="L126" s="12">
        <v>120</v>
      </c>
      <c r="M126" s="12">
        <v>190</v>
      </c>
      <c r="N126" s="12">
        <v>7.98</v>
      </c>
      <c r="O126" s="19">
        <v>123</v>
      </c>
      <c r="Q126" t="s">
        <v>604</v>
      </c>
    </row>
    <row r="127" spans="3:17" x14ac:dyDescent="0.2">
      <c r="C127" s="1" t="s">
        <v>128</v>
      </c>
      <c r="D127" t="s">
        <v>324</v>
      </c>
      <c r="E127" t="s">
        <v>326</v>
      </c>
      <c r="F127" s="1" t="s">
        <v>445</v>
      </c>
      <c r="H127" s="12" t="s">
        <v>280</v>
      </c>
      <c r="I127" s="11" t="s">
        <v>1047</v>
      </c>
      <c r="J127" s="12" t="s">
        <v>316</v>
      </c>
      <c r="K127" s="13">
        <v>11.2</v>
      </c>
      <c r="L127" s="12">
        <v>168</v>
      </c>
      <c r="M127" s="12">
        <v>280</v>
      </c>
      <c r="N127" s="12">
        <v>7.98</v>
      </c>
      <c r="O127" s="19">
        <v>175.12</v>
      </c>
      <c r="Q127" t="s">
        <v>605</v>
      </c>
    </row>
    <row r="128" spans="3:17" x14ac:dyDescent="0.2">
      <c r="C128" s="1" t="s">
        <v>129</v>
      </c>
      <c r="D128" t="s">
        <v>324</v>
      </c>
      <c r="E128" t="s">
        <v>326</v>
      </c>
      <c r="F128" s="1" t="s">
        <v>446</v>
      </c>
      <c r="H128" s="12" t="s">
        <v>281</v>
      </c>
      <c r="I128" s="11" t="s">
        <v>1048</v>
      </c>
      <c r="J128" s="12" t="s">
        <v>316</v>
      </c>
      <c r="K128" s="13">
        <v>13.1</v>
      </c>
      <c r="L128" s="12">
        <v>192</v>
      </c>
      <c r="M128" s="12">
        <v>325</v>
      </c>
      <c r="N128" s="12">
        <v>7.98</v>
      </c>
      <c r="O128" s="19">
        <v>188.45</v>
      </c>
      <c r="Q128" t="s">
        <v>606</v>
      </c>
    </row>
    <row r="129" spans="3:17" x14ac:dyDescent="0.2">
      <c r="C129" s="1" t="s">
        <v>130</v>
      </c>
      <c r="D129" t="s">
        <v>324</v>
      </c>
      <c r="E129" t="s">
        <v>326</v>
      </c>
      <c r="F129" s="1" t="s">
        <v>447</v>
      </c>
      <c r="H129" s="12" t="s">
        <v>282</v>
      </c>
      <c r="I129" s="11" t="s">
        <v>1049</v>
      </c>
      <c r="J129" s="12" t="s">
        <v>316</v>
      </c>
      <c r="K129" s="13">
        <v>15.1</v>
      </c>
      <c r="L129" s="12">
        <v>288</v>
      </c>
      <c r="M129" s="12">
        <v>510</v>
      </c>
      <c r="N129" s="12">
        <v>7.98</v>
      </c>
      <c r="O129" s="19">
        <v>296.24</v>
      </c>
      <c r="Q129" t="s">
        <v>607</v>
      </c>
    </row>
    <row r="130" spans="3:17" x14ac:dyDescent="0.2">
      <c r="C130" s="1" t="s">
        <v>232</v>
      </c>
      <c r="D130" t="s">
        <v>324</v>
      </c>
      <c r="E130" t="s">
        <v>326</v>
      </c>
      <c r="F130" s="1" t="s">
        <v>448</v>
      </c>
      <c r="H130" s="12" t="s">
        <v>283</v>
      </c>
      <c r="I130" s="11" t="s">
        <v>1050</v>
      </c>
      <c r="J130" s="12" t="s">
        <v>316</v>
      </c>
      <c r="K130" s="13">
        <v>16.100000000000001</v>
      </c>
      <c r="L130" s="12">
        <v>336</v>
      </c>
      <c r="M130" s="12">
        <v>600</v>
      </c>
      <c r="N130" s="12">
        <v>7.98</v>
      </c>
      <c r="O130" s="19">
        <v>321.33</v>
      </c>
      <c r="Q130" t="s">
        <v>608</v>
      </c>
    </row>
    <row r="131" spans="3:17" x14ac:dyDescent="0.2">
      <c r="C131" s="1" t="s">
        <v>233</v>
      </c>
      <c r="D131" t="s">
        <v>324</v>
      </c>
      <c r="E131" t="s">
        <v>326</v>
      </c>
      <c r="F131" s="1" t="s">
        <v>449</v>
      </c>
      <c r="H131" s="12" t="s">
        <v>284</v>
      </c>
      <c r="I131" s="11" t="s">
        <v>1051</v>
      </c>
      <c r="J131" s="12" t="s">
        <v>316</v>
      </c>
      <c r="K131" s="13">
        <v>18.100000000000001</v>
      </c>
      <c r="L131" s="12">
        <v>432</v>
      </c>
      <c r="M131" s="12">
        <v>870</v>
      </c>
      <c r="N131" s="12">
        <v>7.98</v>
      </c>
      <c r="O131" s="19">
        <v>425.57</v>
      </c>
      <c r="Q131" t="s">
        <v>609</v>
      </c>
    </row>
    <row r="132" spans="3:17" x14ac:dyDescent="0.2">
      <c r="C132" s="1" t="s">
        <v>234</v>
      </c>
      <c r="D132" t="s">
        <v>324</v>
      </c>
      <c r="E132" t="s">
        <v>326</v>
      </c>
      <c r="F132" s="1" t="s">
        <v>450</v>
      </c>
      <c r="H132" s="12" t="s">
        <v>285</v>
      </c>
      <c r="I132" s="11" t="s">
        <v>1052</v>
      </c>
      <c r="J132" s="12" t="s">
        <v>316</v>
      </c>
      <c r="K132" s="13">
        <v>21.2</v>
      </c>
      <c r="L132" s="12">
        <v>600</v>
      </c>
      <c r="M132" s="12">
        <v>1140</v>
      </c>
      <c r="N132" s="12">
        <v>7.98</v>
      </c>
      <c r="O132" s="19">
        <v>617.36</v>
      </c>
      <c r="Q132" t="s">
        <v>610</v>
      </c>
    </row>
    <row r="133" spans="3:17" x14ac:dyDescent="0.2">
      <c r="C133" s="1" t="s">
        <v>235</v>
      </c>
      <c r="D133" t="s">
        <v>324</v>
      </c>
      <c r="E133" t="s">
        <v>326</v>
      </c>
      <c r="F133" s="1" t="s">
        <v>451</v>
      </c>
      <c r="H133" s="12" t="s">
        <v>286</v>
      </c>
      <c r="I133" s="11" t="s">
        <v>1053</v>
      </c>
      <c r="J133" s="12" t="s">
        <v>316</v>
      </c>
      <c r="K133" s="13">
        <v>24</v>
      </c>
      <c r="L133" s="12">
        <v>768</v>
      </c>
      <c r="M133" s="12">
        <v>1205</v>
      </c>
      <c r="N133" s="12">
        <v>7.98</v>
      </c>
      <c r="O133" s="19" t="s">
        <v>904</v>
      </c>
      <c r="Q133" t="s">
        <v>611</v>
      </c>
    </row>
    <row r="134" spans="3:17" x14ac:dyDescent="0.2">
      <c r="C134" s="1" t="s">
        <v>236</v>
      </c>
      <c r="D134" t="s">
        <v>324</v>
      </c>
      <c r="E134" t="s">
        <v>326</v>
      </c>
      <c r="F134" s="1" t="s">
        <v>452</v>
      </c>
      <c r="H134" s="12" t="s">
        <v>287</v>
      </c>
      <c r="I134" s="11" t="s">
        <v>1054</v>
      </c>
      <c r="J134" s="12" t="s">
        <v>316</v>
      </c>
      <c r="K134" s="13">
        <v>24.8</v>
      </c>
      <c r="L134" s="12">
        <v>816</v>
      </c>
      <c r="M134" s="12">
        <v>1320</v>
      </c>
      <c r="N134" s="12">
        <v>7.98</v>
      </c>
      <c r="O134" s="19" t="s">
        <v>904</v>
      </c>
      <c r="Q134" t="s">
        <v>612</v>
      </c>
    </row>
    <row r="135" spans="3:17" x14ac:dyDescent="0.2">
      <c r="C135" s="1" t="s">
        <v>237</v>
      </c>
      <c r="D135" t="s">
        <v>324</v>
      </c>
      <c r="E135" t="s">
        <v>326</v>
      </c>
      <c r="F135" s="1" t="s">
        <v>453</v>
      </c>
      <c r="H135" s="12" t="s">
        <v>288</v>
      </c>
      <c r="I135" s="11" t="s">
        <v>1055</v>
      </c>
      <c r="J135" s="12" t="s">
        <v>316</v>
      </c>
      <c r="K135" s="13">
        <v>27.5</v>
      </c>
      <c r="L135" s="12">
        <v>1008</v>
      </c>
      <c r="M135" s="12">
        <v>1610</v>
      </c>
      <c r="N135" s="12">
        <v>7.98</v>
      </c>
      <c r="O135" s="19" t="s">
        <v>904</v>
      </c>
      <c r="Q135" t="s">
        <v>613</v>
      </c>
    </row>
    <row r="136" spans="3:17" x14ac:dyDescent="0.2">
      <c r="C136" s="1" t="s">
        <v>238</v>
      </c>
      <c r="D136" t="s">
        <v>324</v>
      </c>
      <c r="E136" t="s">
        <v>326</v>
      </c>
      <c r="F136" s="1" t="s">
        <v>454</v>
      </c>
      <c r="H136" s="12" t="s">
        <v>289</v>
      </c>
      <c r="I136" s="11" t="s">
        <v>1056</v>
      </c>
      <c r="J136" s="12" t="s">
        <v>316</v>
      </c>
      <c r="K136" s="13">
        <v>29.8</v>
      </c>
      <c r="L136" s="12">
        <v>1200</v>
      </c>
      <c r="M136" s="12">
        <v>1885</v>
      </c>
      <c r="N136" s="12">
        <v>7.98</v>
      </c>
      <c r="O136" s="19" t="s">
        <v>904</v>
      </c>
      <c r="Q136" t="s">
        <v>614</v>
      </c>
    </row>
    <row r="137" spans="3:17" x14ac:dyDescent="0.2">
      <c r="C137" s="1" t="s">
        <v>239</v>
      </c>
      <c r="D137" t="s">
        <v>324</v>
      </c>
      <c r="E137" t="s">
        <v>326</v>
      </c>
      <c r="F137" s="1" t="s">
        <v>455</v>
      </c>
      <c r="H137" s="12" t="s">
        <v>290</v>
      </c>
      <c r="I137" s="11" t="s">
        <v>1057</v>
      </c>
      <c r="J137" s="12" t="s">
        <v>316</v>
      </c>
      <c r="K137" s="13">
        <v>32.1</v>
      </c>
      <c r="L137" s="12">
        <v>1464</v>
      </c>
      <c r="M137" s="12">
        <v>2475</v>
      </c>
      <c r="N137" s="12">
        <v>7.98</v>
      </c>
      <c r="O137" s="19" t="s">
        <v>904</v>
      </c>
      <c r="Q137" t="s">
        <v>615</v>
      </c>
    </row>
    <row r="138" spans="3:17" x14ac:dyDescent="0.2">
      <c r="C138" s="1" t="s">
        <v>240</v>
      </c>
      <c r="D138" t="s">
        <v>324</v>
      </c>
      <c r="E138" t="s">
        <v>326</v>
      </c>
      <c r="F138" s="1" t="s">
        <v>456</v>
      </c>
      <c r="H138" s="12" t="s">
        <v>291</v>
      </c>
      <c r="I138" s="11" t="s">
        <v>1058</v>
      </c>
      <c r="J138" s="12" t="s">
        <v>316</v>
      </c>
      <c r="K138" s="13">
        <v>41.1</v>
      </c>
      <c r="L138" s="12">
        <v>2400</v>
      </c>
      <c r="M138" s="12">
        <v>4005</v>
      </c>
      <c r="N138" s="12">
        <v>7.98</v>
      </c>
      <c r="O138" s="19" t="s">
        <v>904</v>
      </c>
      <c r="Q138" t="s">
        <v>616</v>
      </c>
    </row>
    <row r="139" spans="3:17" ht="3.6" customHeight="1" x14ac:dyDescent="0.2">
      <c r="H139" s="15"/>
      <c r="I139" s="16"/>
      <c r="J139" s="15"/>
      <c r="K139" s="17"/>
      <c r="L139" s="15"/>
      <c r="M139" s="15"/>
      <c r="N139" s="15"/>
      <c r="O139" s="20"/>
    </row>
    <row r="140" spans="3:17" x14ac:dyDescent="0.2">
      <c r="C140" s="1" t="s">
        <v>241</v>
      </c>
      <c r="D140" t="s">
        <v>323</v>
      </c>
      <c r="E140" t="s">
        <v>325</v>
      </c>
      <c r="F140" s="1" t="s">
        <v>332</v>
      </c>
      <c r="H140" s="12" t="s">
        <v>292</v>
      </c>
      <c r="I140" s="11" t="s">
        <v>1059</v>
      </c>
      <c r="J140" s="12" t="s">
        <v>317</v>
      </c>
      <c r="K140" s="13">
        <v>9.3000000000000007</v>
      </c>
      <c r="L140" s="13">
        <v>77</v>
      </c>
      <c r="M140" s="12">
        <v>175</v>
      </c>
      <c r="N140" s="12">
        <v>4.95</v>
      </c>
      <c r="O140" s="19">
        <v>89</v>
      </c>
      <c r="Q140" t="s">
        <v>617</v>
      </c>
    </row>
    <row r="141" spans="3:17" x14ac:dyDescent="0.2">
      <c r="C141" s="1" t="s">
        <v>242</v>
      </c>
      <c r="D141" t="s">
        <v>324</v>
      </c>
      <c r="E141" t="s">
        <v>326</v>
      </c>
      <c r="F141" s="1" t="s">
        <v>457</v>
      </c>
      <c r="H141" s="12" t="s">
        <v>293</v>
      </c>
      <c r="I141" s="11" t="s">
        <v>1060</v>
      </c>
      <c r="J141" s="12" t="s">
        <v>317</v>
      </c>
      <c r="K141" s="13">
        <v>10.199999999999999</v>
      </c>
      <c r="L141" s="12">
        <v>115</v>
      </c>
      <c r="M141" s="12">
        <v>210</v>
      </c>
      <c r="N141" s="12">
        <v>4.95</v>
      </c>
      <c r="O141" s="19">
        <v>112.71</v>
      </c>
      <c r="Q141" t="s">
        <v>618</v>
      </c>
    </row>
    <row r="142" spans="3:17" x14ac:dyDescent="0.2">
      <c r="C142" s="1" t="s">
        <v>243</v>
      </c>
      <c r="D142" t="s">
        <v>324</v>
      </c>
      <c r="E142" t="s">
        <v>326</v>
      </c>
      <c r="F142" s="1" t="s">
        <v>458</v>
      </c>
      <c r="H142" s="12" t="s">
        <v>294</v>
      </c>
      <c r="I142" s="11" t="s">
        <v>1061</v>
      </c>
      <c r="J142" s="12" t="s">
        <v>317</v>
      </c>
      <c r="K142" s="13">
        <v>11.1</v>
      </c>
      <c r="L142" s="12">
        <v>154</v>
      </c>
      <c r="M142" s="12">
        <v>270</v>
      </c>
      <c r="N142" s="12">
        <v>4.95</v>
      </c>
      <c r="O142" s="19">
        <v>155.31</v>
      </c>
      <c r="Q142" t="s">
        <v>619</v>
      </c>
    </row>
    <row r="143" spans="3:17" x14ac:dyDescent="0.2">
      <c r="C143" s="1" t="s">
        <v>244</v>
      </c>
      <c r="D143" t="s">
        <v>324</v>
      </c>
      <c r="E143" t="s">
        <v>326</v>
      </c>
      <c r="F143" s="1" t="s">
        <v>459</v>
      </c>
      <c r="H143" s="12" t="s">
        <v>295</v>
      </c>
      <c r="I143" s="11" t="s">
        <v>1062</v>
      </c>
      <c r="J143" s="12" t="s">
        <v>317</v>
      </c>
      <c r="K143" s="13">
        <v>12.4</v>
      </c>
      <c r="L143" s="12">
        <v>192</v>
      </c>
      <c r="M143" s="12">
        <v>300</v>
      </c>
      <c r="N143" s="12">
        <v>4.95</v>
      </c>
      <c r="O143" s="19">
        <v>182.51</v>
      </c>
      <c r="Q143" t="s">
        <v>620</v>
      </c>
    </row>
    <row r="144" spans="3:17" x14ac:dyDescent="0.2">
      <c r="C144" s="1" t="s">
        <v>245</v>
      </c>
      <c r="D144" t="s">
        <v>324</v>
      </c>
      <c r="E144" t="s">
        <v>326</v>
      </c>
      <c r="F144" s="1" t="s">
        <v>460</v>
      </c>
      <c r="H144" s="12" t="s">
        <v>296</v>
      </c>
      <c r="I144" s="11" t="s">
        <v>1063</v>
      </c>
      <c r="J144" s="12" t="s">
        <v>317</v>
      </c>
      <c r="K144" s="13">
        <v>13.7</v>
      </c>
      <c r="L144" s="12">
        <v>269</v>
      </c>
      <c r="M144" s="12">
        <v>410</v>
      </c>
      <c r="N144" s="12">
        <v>4.95</v>
      </c>
      <c r="O144" s="19">
        <v>273.11</v>
      </c>
      <c r="Q144" t="s">
        <v>621</v>
      </c>
    </row>
    <row r="145" spans="3:17" x14ac:dyDescent="0.2">
      <c r="C145" s="1" t="s">
        <v>246</v>
      </c>
      <c r="D145" t="s">
        <v>324</v>
      </c>
      <c r="E145" t="s">
        <v>326</v>
      </c>
      <c r="F145" s="1" t="s">
        <v>461</v>
      </c>
      <c r="H145" s="12" t="s">
        <v>297</v>
      </c>
      <c r="I145" s="11" t="s">
        <v>1064</v>
      </c>
      <c r="J145" s="12" t="s">
        <v>317</v>
      </c>
      <c r="K145" s="13">
        <v>18.100000000000001</v>
      </c>
      <c r="L145" s="12">
        <v>461</v>
      </c>
      <c r="M145" s="12">
        <v>710</v>
      </c>
      <c r="N145" s="12">
        <v>4.95</v>
      </c>
      <c r="O145" s="19">
        <v>480.56</v>
      </c>
      <c r="Q145" t="s">
        <v>622</v>
      </c>
    </row>
    <row r="146" spans="3:17" ht="3.6" customHeight="1" x14ac:dyDescent="0.2">
      <c r="H146" s="15"/>
      <c r="I146" s="16"/>
      <c r="J146" s="15"/>
      <c r="K146" s="17"/>
      <c r="L146" s="15"/>
      <c r="M146" s="15"/>
      <c r="N146" s="15"/>
      <c r="O146" s="20"/>
    </row>
    <row r="147" spans="3:17" x14ac:dyDescent="0.2">
      <c r="C147" s="1" t="s">
        <v>247</v>
      </c>
      <c r="D147" t="s">
        <v>324</v>
      </c>
      <c r="E147" t="s">
        <v>326</v>
      </c>
      <c r="F147" s="1" t="s">
        <v>462</v>
      </c>
      <c r="H147" s="12" t="s">
        <v>298</v>
      </c>
      <c r="I147" s="11" t="s">
        <v>1065</v>
      </c>
      <c r="J147" s="12" t="s">
        <v>318</v>
      </c>
      <c r="K147" s="13">
        <v>11.9</v>
      </c>
      <c r="L147" s="12">
        <v>173</v>
      </c>
      <c r="M147" s="12">
        <v>300</v>
      </c>
      <c r="N147" s="19">
        <v>3.3</v>
      </c>
      <c r="O147" s="19">
        <v>165.91</v>
      </c>
      <c r="Q147" t="s">
        <v>623</v>
      </c>
    </row>
    <row r="148" spans="3:17" x14ac:dyDescent="0.2">
      <c r="C148" s="1" t="s">
        <v>248</v>
      </c>
      <c r="D148" t="s">
        <v>324</v>
      </c>
      <c r="E148" t="s">
        <v>326</v>
      </c>
      <c r="F148" s="1" t="s">
        <v>463</v>
      </c>
      <c r="H148" s="12" t="s">
        <v>299</v>
      </c>
      <c r="I148" s="11" t="s">
        <v>1066</v>
      </c>
      <c r="J148" s="12" t="s">
        <v>318</v>
      </c>
      <c r="K148" s="13">
        <v>13.2</v>
      </c>
      <c r="L148" s="12">
        <v>230</v>
      </c>
      <c r="M148" s="12">
        <v>330</v>
      </c>
      <c r="N148" s="19">
        <v>3.3</v>
      </c>
      <c r="O148" s="19">
        <v>214.62</v>
      </c>
      <c r="Q148" t="s">
        <v>624</v>
      </c>
    </row>
    <row r="149" spans="3:17" x14ac:dyDescent="0.2">
      <c r="C149" s="1" t="s">
        <v>249</v>
      </c>
      <c r="D149" t="s">
        <v>324</v>
      </c>
      <c r="E149" t="s">
        <v>326</v>
      </c>
      <c r="F149" s="1" t="s">
        <v>464</v>
      </c>
      <c r="H149" s="12" t="s">
        <v>300</v>
      </c>
      <c r="I149" s="11" t="s">
        <v>1067</v>
      </c>
      <c r="J149" s="12" t="s">
        <v>318</v>
      </c>
      <c r="K149" s="13">
        <v>14.5</v>
      </c>
      <c r="L149" s="12">
        <v>288</v>
      </c>
      <c r="M149" s="12">
        <v>430</v>
      </c>
      <c r="N149" s="19">
        <v>3.3</v>
      </c>
      <c r="O149" s="19">
        <v>296.74</v>
      </c>
      <c r="Q149" t="s">
        <v>625</v>
      </c>
    </row>
    <row r="150" spans="3:17" x14ac:dyDescent="0.2">
      <c r="C150" s="1" t="s">
        <v>250</v>
      </c>
      <c r="D150" t="s">
        <v>324</v>
      </c>
      <c r="E150" t="s">
        <v>326</v>
      </c>
      <c r="F150" s="1" t="s">
        <v>465</v>
      </c>
      <c r="H150" s="12" t="s">
        <v>301</v>
      </c>
      <c r="I150" s="11" t="s">
        <v>1068</v>
      </c>
      <c r="J150" s="12" t="s">
        <v>318</v>
      </c>
      <c r="K150" s="13">
        <v>16.100000000000001</v>
      </c>
      <c r="L150" s="12">
        <v>403</v>
      </c>
      <c r="M150" s="12">
        <v>600</v>
      </c>
      <c r="N150" s="19">
        <v>3.3</v>
      </c>
      <c r="O150" s="19">
        <v>391.52</v>
      </c>
      <c r="Q150" t="s">
        <v>626</v>
      </c>
    </row>
    <row r="151" spans="3:17" ht="3.6" customHeight="1" x14ac:dyDescent="0.2">
      <c r="H151" s="15"/>
      <c r="I151" s="16"/>
      <c r="J151" s="15"/>
      <c r="K151" s="17"/>
      <c r="L151" s="15"/>
      <c r="M151" s="15"/>
      <c r="N151" s="15"/>
      <c r="O151" s="20"/>
    </row>
    <row r="152" spans="3:17" x14ac:dyDescent="0.2">
      <c r="C152" s="1" t="s">
        <v>251</v>
      </c>
      <c r="D152" t="s">
        <v>324</v>
      </c>
      <c r="E152" t="s">
        <v>326</v>
      </c>
      <c r="F152" s="1" t="s">
        <v>466</v>
      </c>
      <c r="H152" s="12" t="s">
        <v>302</v>
      </c>
      <c r="I152" s="11" t="s">
        <v>1069</v>
      </c>
      <c r="J152" s="12" t="s">
        <v>319</v>
      </c>
      <c r="K152" s="13">
        <v>15</v>
      </c>
      <c r="L152" s="12">
        <v>288</v>
      </c>
      <c r="M152" s="12">
        <v>545</v>
      </c>
      <c r="N152" s="12">
        <v>1.91</v>
      </c>
      <c r="O152" s="19">
        <v>282.26</v>
      </c>
      <c r="Q152" t="s">
        <v>627</v>
      </c>
    </row>
    <row r="153" spans="3:17" x14ac:dyDescent="0.2">
      <c r="C153" s="1" t="s">
        <v>252</v>
      </c>
      <c r="D153" t="s">
        <v>324</v>
      </c>
      <c r="E153" t="s">
        <v>326</v>
      </c>
      <c r="F153" s="1" t="s">
        <v>467</v>
      </c>
      <c r="H153" s="12" t="s">
        <v>303</v>
      </c>
      <c r="I153" s="11" t="s">
        <v>1070</v>
      </c>
      <c r="J153" s="12" t="s">
        <v>319</v>
      </c>
      <c r="K153" s="13">
        <v>16.600000000000001</v>
      </c>
      <c r="L153" s="12">
        <v>384</v>
      </c>
      <c r="M153" s="12">
        <v>750</v>
      </c>
      <c r="N153" s="12">
        <v>1.91</v>
      </c>
      <c r="O153" s="19">
        <v>363.56</v>
      </c>
      <c r="Q153" t="s">
        <v>628</v>
      </c>
    </row>
    <row r="154" spans="3:17" x14ac:dyDescent="0.2">
      <c r="C154" s="1" t="s">
        <v>253</v>
      </c>
      <c r="D154" t="s">
        <v>324</v>
      </c>
      <c r="E154" t="s">
        <v>326</v>
      </c>
      <c r="F154" s="1" t="s">
        <v>468</v>
      </c>
      <c r="H154" s="12" t="s">
        <v>304</v>
      </c>
      <c r="I154" s="11" t="s">
        <v>1071</v>
      </c>
      <c r="J154" s="12" t="s">
        <v>319</v>
      </c>
      <c r="K154" s="13">
        <v>18.399999999999999</v>
      </c>
      <c r="L154" s="12">
        <v>480</v>
      </c>
      <c r="M154" s="12">
        <v>930</v>
      </c>
      <c r="N154" s="12">
        <v>1.91</v>
      </c>
      <c r="O154" s="19">
        <v>477.55</v>
      </c>
      <c r="Q154" t="s">
        <v>629</v>
      </c>
    </row>
    <row r="155" spans="3:17" x14ac:dyDescent="0.2">
      <c r="C155" s="1" t="s">
        <v>254</v>
      </c>
      <c r="D155" t="s">
        <v>324</v>
      </c>
      <c r="E155" t="s">
        <v>326</v>
      </c>
      <c r="F155" s="1" t="s">
        <v>469</v>
      </c>
      <c r="H155" s="12" t="s">
        <v>305</v>
      </c>
      <c r="I155" s="11" t="s">
        <v>1072</v>
      </c>
      <c r="J155" s="12" t="s">
        <v>319</v>
      </c>
      <c r="K155" s="13">
        <v>20.3</v>
      </c>
      <c r="L155" s="12">
        <v>672</v>
      </c>
      <c r="M155" s="12">
        <v>1105</v>
      </c>
      <c r="N155" s="12">
        <v>1.91</v>
      </c>
      <c r="O155" s="19">
        <v>660.65</v>
      </c>
      <c r="Q155" t="s">
        <v>630</v>
      </c>
    </row>
    <row r="156" spans="3:17" ht="3.6" customHeight="1" x14ac:dyDescent="0.2">
      <c r="H156" s="15"/>
      <c r="I156" s="16"/>
      <c r="J156" s="15"/>
      <c r="K156" s="17"/>
      <c r="L156" s="15"/>
      <c r="M156" s="15"/>
      <c r="N156" s="15"/>
      <c r="O156" s="20"/>
    </row>
    <row r="157" spans="3:17" x14ac:dyDescent="0.2">
      <c r="C157" s="1" t="s">
        <v>255</v>
      </c>
      <c r="D157" t="s">
        <v>324</v>
      </c>
      <c r="E157" t="s">
        <v>326</v>
      </c>
      <c r="F157" s="1" t="s">
        <v>470</v>
      </c>
      <c r="H157" s="12" t="s">
        <v>306</v>
      </c>
      <c r="I157" s="11" t="s">
        <v>1073</v>
      </c>
      <c r="J157" s="12" t="s">
        <v>320</v>
      </c>
      <c r="K157" s="13">
        <v>16.8</v>
      </c>
      <c r="L157" s="12">
        <v>461</v>
      </c>
      <c r="M157" s="12">
        <v>830</v>
      </c>
      <c r="N157" s="12">
        <v>1.21</v>
      </c>
      <c r="O157" s="19">
        <v>424</v>
      </c>
      <c r="Q157" t="s">
        <v>631</v>
      </c>
    </row>
    <row r="158" spans="3:17" x14ac:dyDescent="0.2">
      <c r="C158" s="1" t="s">
        <v>256</v>
      </c>
      <c r="D158" t="s">
        <v>324</v>
      </c>
      <c r="E158" t="s">
        <v>326</v>
      </c>
      <c r="F158" s="1" t="s">
        <v>471</v>
      </c>
      <c r="H158" s="12" t="s">
        <v>307</v>
      </c>
      <c r="I158" s="11" t="s">
        <v>1074</v>
      </c>
      <c r="J158" s="12" t="s">
        <v>320</v>
      </c>
      <c r="K158" s="13">
        <v>19.2</v>
      </c>
      <c r="L158" s="12">
        <v>614</v>
      </c>
      <c r="M158" s="12">
        <v>1050</v>
      </c>
      <c r="N158" s="12">
        <v>1.21</v>
      </c>
      <c r="O158" s="19">
        <v>560.02</v>
      </c>
      <c r="Q158" t="s">
        <v>632</v>
      </c>
    </row>
    <row r="159" spans="3:17" x14ac:dyDescent="0.2">
      <c r="C159" s="1" t="s">
        <v>257</v>
      </c>
      <c r="D159" t="s">
        <v>324</v>
      </c>
      <c r="E159" t="s">
        <v>326</v>
      </c>
      <c r="F159" s="1" t="s">
        <v>472</v>
      </c>
      <c r="H159" s="12" t="s">
        <v>308</v>
      </c>
      <c r="I159" s="11" t="s">
        <v>1075</v>
      </c>
      <c r="J159" s="12" t="s">
        <v>320</v>
      </c>
      <c r="K159" s="13">
        <v>21.6</v>
      </c>
      <c r="L159" s="12">
        <v>768</v>
      </c>
      <c r="M159" s="12">
        <v>1300</v>
      </c>
      <c r="N159" s="12">
        <v>1.21</v>
      </c>
      <c r="O159" s="19">
        <v>729.96</v>
      </c>
      <c r="Q159" t="s">
        <v>633</v>
      </c>
    </row>
    <row r="160" spans="3:17" x14ac:dyDescent="0.2">
      <c r="C160" s="1" t="s">
        <v>258</v>
      </c>
      <c r="D160" t="s">
        <v>324</v>
      </c>
      <c r="E160" t="s">
        <v>326</v>
      </c>
      <c r="F160" s="1" t="s">
        <v>473</v>
      </c>
      <c r="H160" s="12" t="s">
        <v>309</v>
      </c>
      <c r="I160" s="11" t="s">
        <v>1076</v>
      </c>
      <c r="J160" s="12" t="s">
        <v>320</v>
      </c>
      <c r="K160" s="13">
        <v>23.8</v>
      </c>
      <c r="L160" s="12">
        <v>1075</v>
      </c>
      <c r="M160" s="12">
        <v>1735</v>
      </c>
      <c r="N160" s="12">
        <v>1.21</v>
      </c>
      <c r="O160" s="19">
        <v>1073.8800000000001</v>
      </c>
      <c r="Q160" t="s">
        <v>634</v>
      </c>
    </row>
    <row r="161" spans="3:17" ht="3.6" customHeight="1" x14ac:dyDescent="0.2">
      <c r="H161" s="15"/>
      <c r="I161" s="16"/>
      <c r="J161" s="15"/>
      <c r="K161" s="17"/>
      <c r="L161" s="15"/>
      <c r="M161" s="15"/>
      <c r="N161" s="15"/>
      <c r="O161" s="20"/>
    </row>
    <row r="162" spans="3:17" x14ac:dyDescent="0.2">
      <c r="C162" s="1" t="s">
        <v>259</v>
      </c>
      <c r="D162" t="s">
        <v>324</v>
      </c>
      <c r="E162" t="s">
        <v>326</v>
      </c>
      <c r="F162" s="1" t="s">
        <v>474</v>
      </c>
      <c r="H162" s="12" t="s">
        <v>310</v>
      </c>
      <c r="I162" s="11" t="s">
        <v>1077</v>
      </c>
      <c r="J162" s="12" t="s">
        <v>321</v>
      </c>
      <c r="K162" s="13">
        <v>22.8</v>
      </c>
      <c r="L162" s="12">
        <v>720</v>
      </c>
      <c r="M162" s="12">
        <v>1065</v>
      </c>
      <c r="N162" s="37">
        <v>0.78</v>
      </c>
      <c r="O162" s="19">
        <v>654</v>
      </c>
      <c r="Q162" t="s">
        <v>635</v>
      </c>
    </row>
    <row r="163" spans="3:17" x14ac:dyDescent="0.2">
      <c r="C163" s="1" t="s">
        <v>260</v>
      </c>
      <c r="D163" t="s">
        <v>324</v>
      </c>
      <c r="E163" t="s">
        <v>326</v>
      </c>
      <c r="F163" s="1" t="s">
        <v>475</v>
      </c>
      <c r="H163" s="12" t="s">
        <v>311</v>
      </c>
      <c r="I163" s="11" t="s">
        <v>1078</v>
      </c>
      <c r="J163" s="12" t="s">
        <v>321</v>
      </c>
      <c r="K163" s="13">
        <v>23.9</v>
      </c>
      <c r="L163" s="12">
        <v>960</v>
      </c>
      <c r="M163" s="12">
        <v>1675</v>
      </c>
      <c r="N163" s="37">
        <v>0.78</v>
      </c>
      <c r="O163" s="19">
        <v>866.43</v>
      </c>
      <c r="Q163" t="s">
        <v>636</v>
      </c>
    </row>
    <row r="164" spans="3:17" x14ac:dyDescent="0.2">
      <c r="C164" s="1" t="s">
        <v>261</v>
      </c>
      <c r="D164" t="s">
        <v>324</v>
      </c>
      <c r="E164" t="s">
        <v>326</v>
      </c>
      <c r="F164" s="1" t="s">
        <v>476</v>
      </c>
      <c r="H164" s="12" t="s">
        <v>312</v>
      </c>
      <c r="I164" s="11" t="s">
        <v>1079</v>
      </c>
      <c r="J164" s="12" t="s">
        <v>321</v>
      </c>
      <c r="K164" s="13">
        <v>26.8</v>
      </c>
      <c r="L164" s="12">
        <v>1200</v>
      </c>
      <c r="M164" s="12">
        <v>2100</v>
      </c>
      <c r="N164" s="37">
        <v>0.78</v>
      </c>
      <c r="O164" s="19">
        <v>1109.24</v>
      </c>
      <c r="Q164" t="s">
        <v>637</v>
      </c>
    </row>
    <row r="165" spans="3:17" x14ac:dyDescent="0.2">
      <c r="C165" s="1" t="s">
        <v>262</v>
      </c>
      <c r="D165" t="s">
        <v>324</v>
      </c>
      <c r="E165" t="s">
        <v>326</v>
      </c>
      <c r="F165" s="1" t="s">
        <v>477</v>
      </c>
      <c r="H165" s="12" t="s">
        <v>313</v>
      </c>
      <c r="I165" s="11" t="s">
        <v>1080</v>
      </c>
      <c r="J165" s="12" t="s">
        <v>321</v>
      </c>
      <c r="K165" s="13">
        <v>31</v>
      </c>
      <c r="L165" s="12">
        <v>1680</v>
      </c>
      <c r="M165" s="12">
        <v>2705</v>
      </c>
      <c r="N165" s="37">
        <v>0.78</v>
      </c>
      <c r="O165" s="19" t="s">
        <v>904</v>
      </c>
      <c r="Q165" t="s">
        <v>638</v>
      </c>
    </row>
    <row r="166" spans="3:17" ht="3.6" customHeight="1" x14ac:dyDescent="0.2">
      <c r="H166" s="15"/>
      <c r="I166" s="16"/>
      <c r="J166" s="15"/>
      <c r="K166" s="17"/>
      <c r="L166" s="15"/>
      <c r="M166" s="15"/>
      <c r="N166" s="15"/>
      <c r="O166" s="20"/>
    </row>
    <row r="167" spans="3:17" x14ac:dyDescent="0.2">
      <c r="C167" s="1" t="s">
        <v>263</v>
      </c>
      <c r="D167" t="s">
        <v>324</v>
      </c>
      <c r="E167" t="s">
        <v>326</v>
      </c>
      <c r="F167" s="1" t="s">
        <v>478</v>
      </c>
      <c r="H167" s="12" t="s">
        <v>314</v>
      </c>
      <c r="I167" s="11" t="s">
        <v>1081</v>
      </c>
      <c r="J167" s="12" t="s">
        <v>322</v>
      </c>
      <c r="K167" s="13">
        <v>28.4</v>
      </c>
      <c r="L167" s="12">
        <v>1344</v>
      </c>
      <c r="M167" s="12">
        <v>2050</v>
      </c>
      <c r="N167" s="12">
        <v>0.55400000000000005</v>
      </c>
      <c r="O167" s="19">
        <v>1289.1199999999999</v>
      </c>
      <c r="Q167" t="s">
        <v>639</v>
      </c>
    </row>
    <row r="168" spans="3:17" x14ac:dyDescent="0.2">
      <c r="C168" s="1" t="s">
        <v>264</v>
      </c>
      <c r="D168" t="s">
        <v>324</v>
      </c>
      <c r="E168" t="s">
        <v>326</v>
      </c>
      <c r="F168" s="1" t="s">
        <v>479</v>
      </c>
      <c r="H168" s="12" t="s">
        <v>315</v>
      </c>
      <c r="I168" s="11" t="s">
        <v>1082</v>
      </c>
      <c r="J168" s="12" t="s">
        <v>322</v>
      </c>
      <c r="K168" s="13">
        <v>32.1</v>
      </c>
      <c r="L168" s="12">
        <v>1680</v>
      </c>
      <c r="M168" s="12">
        <v>2635</v>
      </c>
      <c r="N168" s="12">
        <v>0.55400000000000005</v>
      </c>
      <c r="O168" s="19">
        <v>1593.62</v>
      </c>
      <c r="Q168" t="s">
        <v>640</v>
      </c>
    </row>
  </sheetData>
  <mergeCells count="1">
    <mergeCell ref="I4:I5"/>
  </mergeCells>
  <pageMargins left="0.17" right="0.17" top="0.24" bottom="0.17" header="0.3" footer="0.3"/>
  <pageSetup scale="8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2A-CDDA-41E9-817E-9927CBDF2042}">
  <sheetPr>
    <tabColor rgb="FF00B0F0"/>
  </sheetPr>
  <dimension ref="C1:Q168"/>
  <sheetViews>
    <sheetView topLeftCell="G21" zoomScaleNormal="100" workbookViewId="0">
      <selection activeCell="K6" sqref="K6:O168"/>
    </sheetView>
  </sheetViews>
  <sheetFormatPr defaultRowHeight="14.25" x14ac:dyDescent="0.2"/>
  <cols>
    <col min="1" max="2" width="0" hidden="1" customWidth="1"/>
    <col min="3" max="3" width="13.125" style="1" hidden="1" customWidth="1"/>
    <col min="4" max="4" width="20.375" hidden="1" customWidth="1"/>
    <col min="5" max="5" width="7" hidden="1" customWidth="1"/>
    <col min="6" max="6" width="14.375" style="1" hidden="1" customWidth="1"/>
    <col min="7" max="7" width="4.75" style="1" customWidth="1"/>
    <col min="8" max="8" width="14.375" style="1" customWidth="1"/>
    <col min="9" max="9" width="30.625" style="1" customWidth="1"/>
    <col min="10" max="10" width="19" style="1" customWidth="1"/>
    <col min="11" max="11" width="9.375" style="3" bestFit="1" customWidth="1"/>
    <col min="12" max="13" width="9.75" style="1" bestFit="1" customWidth="1"/>
    <col min="14" max="14" width="17.875" style="1" bestFit="1" customWidth="1"/>
    <col min="15" max="15" width="14.75" style="21" customWidth="1"/>
    <col min="16" max="16" width="17.875" style="1" customWidth="1"/>
    <col min="17" max="17" width="50.125" customWidth="1"/>
  </cols>
  <sheetData>
    <row r="1" spans="3:17" x14ac:dyDescent="0.2">
      <c r="K1" s="1"/>
    </row>
    <row r="2" spans="3:17" x14ac:dyDescent="0.2">
      <c r="I2" s="34" t="s">
        <v>643</v>
      </c>
      <c r="K2" s="1"/>
      <c r="O2" s="22" t="s">
        <v>806</v>
      </c>
    </row>
    <row r="3" spans="3:17" x14ac:dyDescent="0.2">
      <c r="K3" s="1"/>
    </row>
    <row r="4" spans="3:17" s="5" customFormat="1" ht="20.45" customHeight="1" x14ac:dyDescent="0.2">
      <c r="C4" s="4" t="s">
        <v>131</v>
      </c>
      <c r="F4" s="4"/>
      <c r="G4" s="4"/>
      <c r="H4" s="6" t="s">
        <v>164</v>
      </c>
      <c r="I4" s="38" t="s">
        <v>480</v>
      </c>
      <c r="J4" s="6" t="s">
        <v>486</v>
      </c>
      <c r="K4" s="7" t="s">
        <v>170</v>
      </c>
      <c r="L4" s="6" t="s">
        <v>481</v>
      </c>
      <c r="M4" s="6" t="s">
        <v>482</v>
      </c>
      <c r="N4" s="6" t="s">
        <v>172</v>
      </c>
      <c r="O4" s="6" t="s">
        <v>913</v>
      </c>
      <c r="P4" s="1"/>
    </row>
    <row r="5" spans="3:17" s="5" customFormat="1" ht="20.45" customHeight="1" x14ac:dyDescent="0.2">
      <c r="C5" s="4"/>
      <c r="F5" s="4"/>
      <c r="G5" s="4"/>
      <c r="H5" s="8" t="s">
        <v>484</v>
      </c>
      <c r="I5" s="39"/>
      <c r="J5" s="8" t="s">
        <v>169</v>
      </c>
      <c r="K5" s="9" t="s">
        <v>483</v>
      </c>
      <c r="L5" s="8" t="s">
        <v>171</v>
      </c>
      <c r="M5" s="8" t="s">
        <v>171</v>
      </c>
      <c r="N5" s="10" t="s">
        <v>485</v>
      </c>
      <c r="O5" s="24" t="s">
        <v>914</v>
      </c>
      <c r="P5" s="1"/>
      <c r="Q5" s="14" t="s">
        <v>807</v>
      </c>
    </row>
    <row r="6" spans="3:17" x14ac:dyDescent="0.2">
      <c r="C6" s="1" t="s">
        <v>85</v>
      </c>
      <c r="D6" t="s">
        <v>323</v>
      </c>
      <c r="E6" t="s">
        <v>325</v>
      </c>
      <c r="F6" s="2" t="s">
        <v>327</v>
      </c>
      <c r="G6" s="2"/>
      <c r="H6" s="12" t="s">
        <v>165</v>
      </c>
      <c r="I6" s="11" t="s">
        <v>1236</v>
      </c>
      <c r="J6" s="12" t="s">
        <v>24</v>
      </c>
      <c r="K6" s="13">
        <v>4.9000000000000004</v>
      </c>
      <c r="L6" s="13">
        <v>9.6</v>
      </c>
      <c r="M6" s="12">
        <v>38</v>
      </c>
      <c r="N6" s="13">
        <v>39</v>
      </c>
      <c r="O6" s="19">
        <v>14.44</v>
      </c>
      <c r="Q6" t="s">
        <v>488</v>
      </c>
    </row>
    <row r="7" spans="3:17" x14ac:dyDescent="0.2">
      <c r="C7" s="1" t="s">
        <v>86</v>
      </c>
      <c r="D7" t="s">
        <v>324</v>
      </c>
      <c r="E7" t="s">
        <v>326</v>
      </c>
      <c r="F7" s="1" t="s">
        <v>333</v>
      </c>
      <c r="H7" s="12" t="s">
        <v>0</v>
      </c>
      <c r="I7" s="11" t="s">
        <v>1237</v>
      </c>
      <c r="J7" s="12" t="s">
        <v>24</v>
      </c>
      <c r="K7" s="13">
        <v>5.2</v>
      </c>
      <c r="L7" s="13">
        <v>14.4</v>
      </c>
      <c r="M7" s="12">
        <v>47</v>
      </c>
      <c r="N7" s="13">
        <v>39</v>
      </c>
      <c r="O7" s="19">
        <v>19.54</v>
      </c>
      <c r="Q7" t="s">
        <v>489</v>
      </c>
    </row>
    <row r="8" spans="3:17" x14ac:dyDescent="0.2">
      <c r="C8" s="1" t="s">
        <v>87</v>
      </c>
      <c r="D8" t="s">
        <v>324</v>
      </c>
      <c r="E8" t="s">
        <v>326</v>
      </c>
      <c r="F8" s="1" t="s">
        <v>334</v>
      </c>
      <c r="H8" s="12" t="s">
        <v>1</v>
      </c>
      <c r="I8" s="11" t="s">
        <v>1238</v>
      </c>
      <c r="J8" s="12" t="s">
        <v>24</v>
      </c>
      <c r="K8" s="13">
        <v>5.7</v>
      </c>
      <c r="L8" s="13">
        <v>19.2</v>
      </c>
      <c r="M8" s="12">
        <v>58</v>
      </c>
      <c r="N8" s="13">
        <v>39</v>
      </c>
      <c r="O8" s="19">
        <v>24.37</v>
      </c>
      <c r="Q8" t="s">
        <v>490</v>
      </c>
    </row>
    <row r="9" spans="3:17" x14ac:dyDescent="0.2">
      <c r="C9" s="1" t="s">
        <v>88</v>
      </c>
      <c r="D9" t="s">
        <v>324</v>
      </c>
      <c r="E9" t="s">
        <v>326</v>
      </c>
      <c r="F9" s="1" t="s">
        <v>335</v>
      </c>
      <c r="H9" s="12" t="s">
        <v>3</v>
      </c>
      <c r="I9" s="11" t="s">
        <v>1239</v>
      </c>
      <c r="J9" s="12" t="s">
        <v>24</v>
      </c>
      <c r="K9" s="13">
        <v>6</v>
      </c>
      <c r="L9" s="13">
        <v>24</v>
      </c>
      <c r="M9" s="12">
        <v>75</v>
      </c>
      <c r="N9" s="13">
        <v>39</v>
      </c>
      <c r="O9" s="19">
        <v>30.34</v>
      </c>
      <c r="Q9" t="s">
        <v>491</v>
      </c>
    </row>
    <row r="10" spans="3:17" x14ac:dyDescent="0.2">
      <c r="C10" s="1" t="s">
        <v>89</v>
      </c>
      <c r="D10" t="s">
        <v>324</v>
      </c>
      <c r="E10" t="s">
        <v>326</v>
      </c>
      <c r="F10" s="1" t="s">
        <v>336</v>
      </c>
      <c r="H10" s="12" t="s">
        <v>2</v>
      </c>
      <c r="I10" s="11" t="s">
        <v>1240</v>
      </c>
      <c r="J10" s="12" t="s">
        <v>24</v>
      </c>
      <c r="K10" s="13">
        <v>6.5</v>
      </c>
      <c r="L10" s="13">
        <v>28.8</v>
      </c>
      <c r="M10" s="12">
        <v>89</v>
      </c>
      <c r="N10" s="13">
        <v>39</v>
      </c>
      <c r="O10" s="19">
        <v>40</v>
      </c>
      <c r="Q10" t="s">
        <v>492</v>
      </c>
    </row>
    <row r="11" spans="3:17" x14ac:dyDescent="0.2">
      <c r="C11" s="1" t="s">
        <v>90</v>
      </c>
      <c r="D11" t="s">
        <v>324</v>
      </c>
      <c r="E11" t="s">
        <v>326</v>
      </c>
      <c r="F11" s="1" t="s">
        <v>337</v>
      </c>
      <c r="H11" s="12" t="s">
        <v>4</v>
      </c>
      <c r="I11" s="11" t="s">
        <v>1241</v>
      </c>
      <c r="J11" s="12" t="s">
        <v>24</v>
      </c>
      <c r="K11" s="13">
        <v>7.1</v>
      </c>
      <c r="L11" s="13">
        <v>33.6</v>
      </c>
      <c r="M11" s="12">
        <v>93</v>
      </c>
      <c r="N11" s="13">
        <v>39</v>
      </c>
      <c r="O11" s="19">
        <v>44.58</v>
      </c>
      <c r="Q11" t="s">
        <v>493</v>
      </c>
    </row>
    <row r="12" spans="3:17" x14ac:dyDescent="0.2">
      <c r="C12" s="1" t="s">
        <v>91</v>
      </c>
      <c r="D12" t="s">
        <v>324</v>
      </c>
      <c r="E12" t="s">
        <v>326</v>
      </c>
      <c r="F12" s="1" t="s">
        <v>338</v>
      </c>
      <c r="H12" s="12" t="s">
        <v>5</v>
      </c>
      <c r="I12" s="11" t="s">
        <v>1242</v>
      </c>
      <c r="J12" s="12" t="s">
        <v>24</v>
      </c>
      <c r="K12" s="13">
        <v>7.7</v>
      </c>
      <c r="L12" s="13">
        <v>38.4</v>
      </c>
      <c r="M12" s="12">
        <v>110</v>
      </c>
      <c r="N12" s="13">
        <v>39</v>
      </c>
      <c r="O12" s="19">
        <v>51.4</v>
      </c>
      <c r="Q12" t="s">
        <v>494</v>
      </c>
    </row>
    <row r="13" spans="3:17" x14ac:dyDescent="0.2">
      <c r="C13" s="1" t="s">
        <v>92</v>
      </c>
      <c r="D13" t="s">
        <v>324</v>
      </c>
      <c r="E13" t="s">
        <v>326</v>
      </c>
      <c r="F13" s="1" t="s">
        <v>339</v>
      </c>
      <c r="H13" s="12" t="s">
        <v>6</v>
      </c>
      <c r="I13" s="11" t="s">
        <v>1243</v>
      </c>
      <c r="J13" s="12" t="s">
        <v>24</v>
      </c>
      <c r="K13" s="13">
        <v>8.6</v>
      </c>
      <c r="L13" s="13">
        <v>48</v>
      </c>
      <c r="M13" s="12">
        <v>140</v>
      </c>
      <c r="N13" s="13">
        <v>39</v>
      </c>
      <c r="O13" s="19">
        <v>64.42</v>
      </c>
      <c r="Q13" t="s">
        <v>495</v>
      </c>
    </row>
    <row r="14" spans="3:17" x14ac:dyDescent="0.2">
      <c r="C14" s="1" t="s">
        <v>93</v>
      </c>
      <c r="D14" t="s">
        <v>324</v>
      </c>
      <c r="E14" t="s">
        <v>326</v>
      </c>
      <c r="F14" s="1" t="s">
        <v>340</v>
      </c>
      <c r="H14" s="12" t="s">
        <v>7</v>
      </c>
      <c r="I14" s="11" t="s">
        <v>1244</v>
      </c>
      <c r="J14" s="12" t="s">
        <v>24</v>
      </c>
      <c r="K14" s="13">
        <v>9.1</v>
      </c>
      <c r="L14" s="13">
        <v>58</v>
      </c>
      <c r="M14" s="12">
        <v>150</v>
      </c>
      <c r="N14" s="13">
        <v>39</v>
      </c>
      <c r="O14" s="19">
        <v>75.540000000000006</v>
      </c>
      <c r="Q14" t="s">
        <v>496</v>
      </c>
    </row>
    <row r="15" spans="3:17" x14ac:dyDescent="0.2">
      <c r="C15" s="1" t="s">
        <v>132</v>
      </c>
      <c r="D15" t="s">
        <v>324</v>
      </c>
      <c r="E15" t="s">
        <v>326</v>
      </c>
      <c r="F15" s="1" t="s">
        <v>341</v>
      </c>
      <c r="H15" s="12" t="s">
        <v>8</v>
      </c>
      <c r="I15" s="11" t="s">
        <v>1245</v>
      </c>
      <c r="J15" s="12" t="s">
        <v>24</v>
      </c>
      <c r="K15" s="13">
        <v>9.3000000000000007</v>
      </c>
      <c r="L15" s="13">
        <v>67</v>
      </c>
      <c r="M15" s="12">
        <v>170</v>
      </c>
      <c r="N15" s="13">
        <v>39</v>
      </c>
      <c r="O15" s="19">
        <v>90.65</v>
      </c>
      <c r="Q15" t="s">
        <v>497</v>
      </c>
    </row>
    <row r="16" spans="3:17" x14ac:dyDescent="0.2">
      <c r="C16" s="1" t="s">
        <v>133</v>
      </c>
      <c r="D16" t="s">
        <v>324</v>
      </c>
      <c r="E16" t="s">
        <v>326</v>
      </c>
      <c r="F16" s="1" t="s">
        <v>342</v>
      </c>
      <c r="H16" s="12" t="s">
        <v>9</v>
      </c>
      <c r="I16" s="11" t="s">
        <v>1246</v>
      </c>
      <c r="J16" s="12" t="s">
        <v>24</v>
      </c>
      <c r="K16" s="13">
        <v>10.4</v>
      </c>
      <c r="L16" s="13">
        <v>77</v>
      </c>
      <c r="M16" s="12">
        <v>195</v>
      </c>
      <c r="N16" s="13">
        <v>39</v>
      </c>
      <c r="O16" s="19">
        <v>101.46</v>
      </c>
      <c r="Q16" t="s">
        <v>498</v>
      </c>
    </row>
    <row r="17" spans="3:17" x14ac:dyDescent="0.2">
      <c r="C17" s="1" t="s">
        <v>134</v>
      </c>
      <c r="D17" t="s">
        <v>324</v>
      </c>
      <c r="E17" t="s">
        <v>326</v>
      </c>
      <c r="F17" s="1" t="s">
        <v>343</v>
      </c>
      <c r="H17" s="12" t="s">
        <v>10</v>
      </c>
      <c r="I17" s="11" t="s">
        <v>1247</v>
      </c>
      <c r="J17" s="12" t="s">
        <v>24</v>
      </c>
      <c r="K17" s="13">
        <v>10.8</v>
      </c>
      <c r="L17" s="13">
        <v>86</v>
      </c>
      <c r="M17" s="12">
        <v>215</v>
      </c>
      <c r="N17" s="13">
        <v>39</v>
      </c>
      <c r="O17" s="19">
        <v>113.29</v>
      </c>
      <c r="Q17" t="s">
        <v>499</v>
      </c>
    </row>
    <row r="18" spans="3:17" x14ac:dyDescent="0.2">
      <c r="C18" s="1" t="s">
        <v>135</v>
      </c>
      <c r="D18" t="s">
        <v>324</v>
      </c>
      <c r="E18" t="s">
        <v>326</v>
      </c>
      <c r="F18" s="1" t="s">
        <v>344</v>
      </c>
      <c r="H18" s="12" t="s">
        <v>11</v>
      </c>
      <c r="I18" s="11" t="s">
        <v>1248</v>
      </c>
      <c r="J18" s="12" t="s">
        <v>24</v>
      </c>
      <c r="K18" s="13">
        <v>11.8</v>
      </c>
      <c r="L18" s="13">
        <v>96</v>
      </c>
      <c r="M18" s="12">
        <v>230</v>
      </c>
      <c r="N18" s="13">
        <v>39</v>
      </c>
      <c r="O18" s="19">
        <v>123.86</v>
      </c>
      <c r="Q18" t="s">
        <v>500</v>
      </c>
    </row>
    <row r="19" spans="3:17" x14ac:dyDescent="0.2">
      <c r="C19" s="1" t="s">
        <v>136</v>
      </c>
      <c r="D19" t="s">
        <v>324</v>
      </c>
      <c r="E19" t="s">
        <v>326</v>
      </c>
      <c r="F19" s="1" t="s">
        <v>345</v>
      </c>
      <c r="H19" s="12" t="s">
        <v>12</v>
      </c>
      <c r="I19" s="11" t="s">
        <v>1249</v>
      </c>
      <c r="J19" s="12" t="s">
        <v>24</v>
      </c>
      <c r="K19" s="13">
        <v>12</v>
      </c>
      <c r="L19" s="12">
        <v>101</v>
      </c>
      <c r="M19" s="12">
        <v>245</v>
      </c>
      <c r="N19" s="13">
        <v>39</v>
      </c>
      <c r="O19" s="19">
        <v>135.44</v>
      </c>
      <c r="Q19" t="s">
        <v>501</v>
      </c>
    </row>
    <row r="20" spans="3:17" x14ac:dyDescent="0.2">
      <c r="C20" s="1" t="s">
        <v>137</v>
      </c>
      <c r="D20" t="s">
        <v>324</v>
      </c>
      <c r="E20" t="s">
        <v>326</v>
      </c>
      <c r="F20" s="1" t="s">
        <v>346</v>
      </c>
      <c r="H20" s="12" t="s">
        <v>13</v>
      </c>
      <c r="I20" s="11" t="s">
        <v>1250</v>
      </c>
      <c r="J20" s="12" t="s">
        <v>24</v>
      </c>
      <c r="K20" s="13">
        <v>12.8</v>
      </c>
      <c r="L20" s="12">
        <v>120</v>
      </c>
      <c r="M20" s="12">
        <v>280</v>
      </c>
      <c r="N20" s="13">
        <v>39</v>
      </c>
      <c r="O20" s="19">
        <v>152.66</v>
      </c>
      <c r="Q20" t="s">
        <v>502</v>
      </c>
    </row>
    <row r="21" spans="3:17" x14ac:dyDescent="0.2">
      <c r="C21" s="1" t="s">
        <v>138</v>
      </c>
      <c r="D21" t="s">
        <v>324</v>
      </c>
      <c r="E21" t="s">
        <v>326</v>
      </c>
      <c r="F21" s="1" t="s">
        <v>347</v>
      </c>
      <c r="H21" s="12" t="s">
        <v>14</v>
      </c>
      <c r="I21" s="11" t="s">
        <v>1251</v>
      </c>
      <c r="J21" s="12" t="s">
        <v>24</v>
      </c>
      <c r="K21" s="13">
        <v>13.7</v>
      </c>
      <c r="L21" s="12">
        <v>144</v>
      </c>
      <c r="M21" s="12">
        <v>310</v>
      </c>
      <c r="N21" s="13">
        <v>39</v>
      </c>
      <c r="O21" s="19">
        <v>184.45</v>
      </c>
      <c r="Q21" t="s">
        <v>503</v>
      </c>
    </row>
    <row r="22" spans="3:17" x14ac:dyDescent="0.2">
      <c r="C22" s="1" t="s">
        <v>139</v>
      </c>
      <c r="D22" t="s">
        <v>324</v>
      </c>
      <c r="E22" t="s">
        <v>326</v>
      </c>
      <c r="F22" s="1" t="s">
        <v>348</v>
      </c>
      <c r="H22" s="12" t="s">
        <v>166</v>
      </c>
      <c r="I22" s="11" t="s">
        <v>1252</v>
      </c>
      <c r="J22" s="12" t="s">
        <v>24</v>
      </c>
      <c r="K22" s="13">
        <v>14</v>
      </c>
      <c r="L22" s="12">
        <v>154</v>
      </c>
      <c r="M22" s="12">
        <v>345</v>
      </c>
      <c r="N22" s="13">
        <v>39</v>
      </c>
      <c r="O22" s="19">
        <v>199</v>
      </c>
      <c r="Q22" t="s">
        <v>504</v>
      </c>
    </row>
    <row r="23" spans="3:17" x14ac:dyDescent="0.2">
      <c r="C23" s="1" t="s">
        <v>140</v>
      </c>
      <c r="D23" t="s">
        <v>324</v>
      </c>
      <c r="E23" t="s">
        <v>326</v>
      </c>
      <c r="F23" s="1" t="s">
        <v>349</v>
      </c>
      <c r="H23" s="12" t="s">
        <v>15</v>
      </c>
      <c r="I23" s="11" t="s">
        <v>1253</v>
      </c>
      <c r="J23" s="12" t="s">
        <v>24</v>
      </c>
      <c r="K23" s="13">
        <v>14.9</v>
      </c>
      <c r="L23" s="12">
        <v>168</v>
      </c>
      <c r="M23" s="12">
        <v>390</v>
      </c>
      <c r="N23" s="13">
        <v>39</v>
      </c>
      <c r="O23" s="19">
        <f>35/34*228.36</f>
        <v>235.07647058823528</v>
      </c>
      <c r="Q23" t="s">
        <v>505</v>
      </c>
    </row>
    <row r="24" spans="3:17" x14ac:dyDescent="0.2">
      <c r="C24" s="1" t="s">
        <v>141</v>
      </c>
      <c r="D24" t="s">
        <v>324</v>
      </c>
      <c r="E24" t="s">
        <v>326</v>
      </c>
      <c r="F24" s="1" t="s">
        <v>350</v>
      </c>
      <c r="H24" s="12" t="s">
        <v>16</v>
      </c>
      <c r="I24" s="11" t="s">
        <v>1254</v>
      </c>
      <c r="J24" s="12" t="s">
        <v>24</v>
      </c>
      <c r="K24" s="13">
        <v>15.6</v>
      </c>
      <c r="L24" s="12">
        <v>192</v>
      </c>
      <c r="M24" s="12">
        <v>450</v>
      </c>
      <c r="N24" s="13">
        <v>39</v>
      </c>
      <c r="O24" s="19">
        <f>O25/42*40</f>
        <v>316.97142857142859</v>
      </c>
      <c r="Q24" t="s">
        <v>506</v>
      </c>
    </row>
    <row r="25" spans="3:17" x14ac:dyDescent="0.2">
      <c r="C25" s="1" t="s">
        <v>142</v>
      </c>
      <c r="D25" t="s">
        <v>324</v>
      </c>
      <c r="E25" t="s">
        <v>326</v>
      </c>
      <c r="F25" s="1" t="s">
        <v>351</v>
      </c>
      <c r="H25" s="12" t="s">
        <v>17</v>
      </c>
      <c r="I25" s="11" t="s">
        <v>1255</v>
      </c>
      <c r="J25" s="12" t="s">
        <v>24</v>
      </c>
      <c r="K25" s="13">
        <v>16.2</v>
      </c>
      <c r="L25" s="12">
        <v>202</v>
      </c>
      <c r="M25" s="12">
        <v>470</v>
      </c>
      <c r="N25" s="13">
        <v>39</v>
      </c>
      <c r="O25" s="19">
        <v>332.82</v>
      </c>
      <c r="Q25" t="s">
        <v>507</v>
      </c>
    </row>
    <row r="26" spans="3:17" x14ac:dyDescent="0.2">
      <c r="C26" s="1" t="s">
        <v>143</v>
      </c>
      <c r="D26" t="s">
        <v>324</v>
      </c>
      <c r="E26" t="s">
        <v>326</v>
      </c>
      <c r="F26" s="1" t="s">
        <v>352</v>
      </c>
      <c r="H26" s="12" t="s">
        <v>18</v>
      </c>
      <c r="I26" s="11" t="s">
        <v>1256</v>
      </c>
      <c r="J26" s="12" t="s">
        <v>24</v>
      </c>
      <c r="K26" s="13">
        <v>17.600000000000001</v>
      </c>
      <c r="L26" s="12">
        <v>240</v>
      </c>
      <c r="M26" s="12">
        <v>510</v>
      </c>
      <c r="N26" s="13">
        <v>39</v>
      </c>
      <c r="O26" s="19">
        <v>409.97</v>
      </c>
      <c r="Q26" t="s">
        <v>508</v>
      </c>
    </row>
    <row r="27" spans="3:17" x14ac:dyDescent="0.2">
      <c r="C27" s="1" t="s">
        <v>144</v>
      </c>
      <c r="D27" t="s">
        <v>324</v>
      </c>
      <c r="E27" t="s">
        <v>326</v>
      </c>
      <c r="F27" s="1" t="s">
        <v>353</v>
      </c>
      <c r="H27" s="12" t="s">
        <v>19</v>
      </c>
      <c r="I27" s="11" t="s">
        <v>1257</v>
      </c>
      <c r="J27" s="12" t="s">
        <v>24</v>
      </c>
      <c r="K27" s="13">
        <v>17.7</v>
      </c>
      <c r="L27" s="12">
        <v>252</v>
      </c>
      <c r="M27" s="12">
        <v>530</v>
      </c>
      <c r="N27" s="13">
        <v>39</v>
      </c>
      <c r="O27" s="19">
        <f>O26/50*52</f>
        <v>426.36880000000002</v>
      </c>
      <c r="Q27" t="s">
        <v>509</v>
      </c>
    </row>
    <row r="28" spans="3:17" x14ac:dyDescent="0.2">
      <c r="C28" s="1" t="s">
        <v>145</v>
      </c>
      <c r="D28" t="s">
        <v>324</v>
      </c>
      <c r="E28" t="s">
        <v>326</v>
      </c>
      <c r="F28" s="1" t="s">
        <v>354</v>
      </c>
      <c r="H28" s="12" t="s">
        <v>20</v>
      </c>
      <c r="I28" s="11" t="s">
        <v>1258</v>
      </c>
      <c r="J28" s="12" t="s">
        <v>24</v>
      </c>
      <c r="K28" s="13">
        <v>18.899999999999999</v>
      </c>
      <c r="L28" s="12">
        <v>293</v>
      </c>
      <c r="M28" s="12">
        <v>650</v>
      </c>
      <c r="N28" s="13">
        <v>39</v>
      </c>
      <c r="O28" s="19">
        <v>468.07</v>
      </c>
      <c r="Q28" t="s">
        <v>510</v>
      </c>
    </row>
    <row r="29" spans="3:17" x14ac:dyDescent="0.2">
      <c r="C29" s="1" t="s">
        <v>146</v>
      </c>
      <c r="D29" t="s">
        <v>324</v>
      </c>
      <c r="E29" t="s">
        <v>326</v>
      </c>
      <c r="F29" s="1" t="s">
        <v>355</v>
      </c>
      <c r="H29" s="12" t="s">
        <v>21</v>
      </c>
      <c r="I29" s="11" t="s">
        <v>1259</v>
      </c>
      <c r="J29" s="12" t="s">
        <v>24</v>
      </c>
      <c r="K29" s="13">
        <v>19.8</v>
      </c>
      <c r="L29" s="12">
        <v>312</v>
      </c>
      <c r="M29" s="12">
        <v>685</v>
      </c>
      <c r="N29" s="13">
        <v>39</v>
      </c>
      <c r="O29" s="19" t="s">
        <v>904</v>
      </c>
      <c r="Q29" t="s">
        <v>511</v>
      </c>
    </row>
    <row r="30" spans="3:17" x14ac:dyDescent="0.2">
      <c r="C30" s="1" t="s">
        <v>147</v>
      </c>
      <c r="D30" t="s">
        <v>324</v>
      </c>
      <c r="E30" t="s">
        <v>326</v>
      </c>
      <c r="F30" s="1" t="s">
        <v>356</v>
      </c>
      <c r="H30" s="12" t="s">
        <v>22</v>
      </c>
      <c r="I30" s="11" t="s">
        <v>1260</v>
      </c>
      <c r="J30" s="12" t="s">
        <v>24</v>
      </c>
      <c r="K30" s="13">
        <v>21.5</v>
      </c>
      <c r="L30" s="12">
        <v>384</v>
      </c>
      <c r="M30" s="12">
        <v>780</v>
      </c>
      <c r="N30" s="13">
        <v>39</v>
      </c>
      <c r="O30" s="19" t="s">
        <v>904</v>
      </c>
      <c r="Q30" t="s">
        <v>512</v>
      </c>
    </row>
    <row r="31" spans="3:17" x14ac:dyDescent="0.2">
      <c r="C31" s="1" t="s">
        <v>148</v>
      </c>
      <c r="D31" t="s">
        <v>324</v>
      </c>
      <c r="E31" t="s">
        <v>326</v>
      </c>
      <c r="F31" s="1" t="s">
        <v>357</v>
      </c>
      <c r="H31" s="12" t="s">
        <v>23</v>
      </c>
      <c r="I31" s="11" t="s">
        <v>1261</v>
      </c>
      <c r="J31" s="12" t="s">
        <v>24</v>
      </c>
      <c r="K31" s="13">
        <v>23.9</v>
      </c>
      <c r="L31" s="12">
        <v>480</v>
      </c>
      <c r="M31" s="12">
        <v>970</v>
      </c>
      <c r="N31" s="13">
        <v>39</v>
      </c>
      <c r="O31" s="19" t="s">
        <v>904</v>
      </c>
      <c r="Q31" t="s">
        <v>513</v>
      </c>
    </row>
    <row r="32" spans="3:17" ht="3.6" customHeight="1" x14ac:dyDescent="0.2">
      <c r="H32" s="15"/>
      <c r="I32" s="16"/>
      <c r="J32" s="15"/>
      <c r="K32" s="17"/>
      <c r="L32" s="15"/>
      <c r="M32" s="15"/>
      <c r="N32" s="17"/>
      <c r="O32" s="20"/>
    </row>
    <row r="33" spans="3:17" x14ac:dyDescent="0.2">
      <c r="C33" s="1" t="s">
        <v>94</v>
      </c>
      <c r="D33" t="s">
        <v>323</v>
      </c>
      <c r="E33" t="s">
        <v>325</v>
      </c>
      <c r="F33" s="1" t="s">
        <v>328</v>
      </c>
      <c r="H33" s="12" t="s">
        <v>167</v>
      </c>
      <c r="I33" s="11" t="s">
        <v>1262</v>
      </c>
      <c r="J33" s="12" t="s">
        <v>52</v>
      </c>
      <c r="K33" s="13">
        <v>5.5</v>
      </c>
      <c r="L33" s="13">
        <v>14.4</v>
      </c>
      <c r="M33" s="12">
        <v>43</v>
      </c>
      <c r="N33" s="13">
        <v>26</v>
      </c>
      <c r="O33" s="19">
        <v>19.170000000000002</v>
      </c>
      <c r="Q33" t="s">
        <v>514</v>
      </c>
    </row>
    <row r="34" spans="3:17" x14ac:dyDescent="0.2">
      <c r="C34" s="1" t="s">
        <v>95</v>
      </c>
      <c r="D34" t="s">
        <v>324</v>
      </c>
      <c r="E34" t="s">
        <v>326</v>
      </c>
      <c r="F34" s="1" t="s">
        <v>358</v>
      </c>
      <c r="H34" s="12" t="s">
        <v>25</v>
      </c>
      <c r="I34" s="11" t="s">
        <v>1263</v>
      </c>
      <c r="J34" s="12" t="s">
        <v>52</v>
      </c>
      <c r="K34" s="13">
        <v>5.7</v>
      </c>
      <c r="L34" s="13">
        <v>22</v>
      </c>
      <c r="M34" s="12">
        <v>61</v>
      </c>
      <c r="N34" s="13">
        <v>26</v>
      </c>
      <c r="O34" s="19">
        <v>26.02</v>
      </c>
      <c r="Q34" t="s">
        <v>515</v>
      </c>
    </row>
    <row r="35" spans="3:17" x14ac:dyDescent="0.2">
      <c r="C35" s="1" t="s">
        <v>96</v>
      </c>
      <c r="D35" t="s">
        <v>324</v>
      </c>
      <c r="E35" t="s">
        <v>326</v>
      </c>
      <c r="F35" s="1" t="s">
        <v>359</v>
      </c>
      <c r="H35" s="12" t="s">
        <v>26</v>
      </c>
      <c r="I35" s="11" t="s">
        <v>1264</v>
      </c>
      <c r="J35" s="12" t="s">
        <v>52</v>
      </c>
      <c r="K35" s="13">
        <v>6.2</v>
      </c>
      <c r="L35" s="13">
        <v>28.8</v>
      </c>
      <c r="M35" s="12">
        <v>75</v>
      </c>
      <c r="N35" s="13">
        <v>26</v>
      </c>
      <c r="O35" s="19">
        <v>34.270000000000003</v>
      </c>
      <c r="Q35" t="s">
        <v>516</v>
      </c>
    </row>
    <row r="36" spans="3:17" x14ac:dyDescent="0.2">
      <c r="C36" s="1" t="s">
        <v>97</v>
      </c>
      <c r="D36" t="s">
        <v>324</v>
      </c>
      <c r="E36" t="s">
        <v>326</v>
      </c>
      <c r="F36" s="1" t="s">
        <v>360</v>
      </c>
      <c r="H36" s="12" t="s">
        <v>27</v>
      </c>
      <c r="I36" s="11" t="s">
        <v>1265</v>
      </c>
      <c r="J36" s="12" t="s">
        <v>52</v>
      </c>
      <c r="K36" s="13">
        <v>6.9</v>
      </c>
      <c r="L36" s="13">
        <v>36</v>
      </c>
      <c r="M36" s="12">
        <v>100</v>
      </c>
      <c r="N36" s="13">
        <v>26</v>
      </c>
      <c r="O36" s="19">
        <v>42.5</v>
      </c>
      <c r="Q36" t="s">
        <v>517</v>
      </c>
    </row>
    <row r="37" spans="3:17" x14ac:dyDescent="0.2">
      <c r="C37" s="1" t="s">
        <v>98</v>
      </c>
      <c r="D37" t="s">
        <v>324</v>
      </c>
      <c r="E37" t="s">
        <v>326</v>
      </c>
      <c r="F37" s="1" t="s">
        <v>361</v>
      </c>
      <c r="H37" s="12" t="s">
        <v>28</v>
      </c>
      <c r="I37" s="11" t="s">
        <v>1266</v>
      </c>
      <c r="J37" s="12" t="s">
        <v>52</v>
      </c>
      <c r="K37" s="13">
        <v>7.6</v>
      </c>
      <c r="L37" s="13">
        <v>43.2</v>
      </c>
      <c r="M37" s="12">
        <v>115</v>
      </c>
      <c r="N37" s="13">
        <v>26</v>
      </c>
      <c r="O37" s="19">
        <v>54.1</v>
      </c>
      <c r="Q37" t="s">
        <v>518</v>
      </c>
    </row>
    <row r="38" spans="3:17" x14ac:dyDescent="0.2">
      <c r="C38" s="1" t="s">
        <v>99</v>
      </c>
      <c r="D38" t="s">
        <v>324</v>
      </c>
      <c r="E38" t="s">
        <v>326</v>
      </c>
      <c r="F38" s="1" t="s">
        <v>362</v>
      </c>
      <c r="H38" s="12" t="s">
        <v>29</v>
      </c>
      <c r="I38" s="11" t="s">
        <v>1267</v>
      </c>
      <c r="J38" s="12" t="s">
        <v>52</v>
      </c>
      <c r="K38" s="13">
        <v>7.6</v>
      </c>
      <c r="L38" s="13">
        <v>50</v>
      </c>
      <c r="M38" s="12">
        <v>125</v>
      </c>
      <c r="N38" s="13">
        <v>26</v>
      </c>
      <c r="O38" s="19">
        <v>60.19</v>
      </c>
      <c r="Q38" t="s">
        <v>519</v>
      </c>
    </row>
    <row r="39" spans="3:17" x14ac:dyDescent="0.2">
      <c r="C39" s="1" t="s">
        <v>100</v>
      </c>
      <c r="D39" t="s">
        <v>324</v>
      </c>
      <c r="E39" t="s">
        <v>326</v>
      </c>
      <c r="F39" s="1" t="s">
        <v>363</v>
      </c>
      <c r="H39" s="12" t="s">
        <v>30</v>
      </c>
      <c r="I39" s="11" t="s">
        <v>1268</v>
      </c>
      <c r="J39" s="12" t="s">
        <v>52</v>
      </c>
      <c r="K39" s="13">
        <v>8.9</v>
      </c>
      <c r="L39" s="13">
        <v>58</v>
      </c>
      <c r="M39" s="12">
        <v>140</v>
      </c>
      <c r="N39" s="13">
        <v>26</v>
      </c>
      <c r="O39" s="19">
        <v>70.430000000000007</v>
      </c>
      <c r="Q39" t="s">
        <v>520</v>
      </c>
    </row>
    <row r="40" spans="3:17" x14ac:dyDescent="0.2">
      <c r="C40" s="1" t="s">
        <v>101</v>
      </c>
      <c r="D40" t="s">
        <v>324</v>
      </c>
      <c r="E40" t="s">
        <v>326</v>
      </c>
      <c r="F40" s="1" t="s">
        <v>364</v>
      </c>
      <c r="H40" s="12" t="s">
        <v>31</v>
      </c>
      <c r="I40" s="11" t="s">
        <v>1269</v>
      </c>
      <c r="J40" s="12" t="s">
        <v>52</v>
      </c>
      <c r="K40" s="13">
        <v>9.6</v>
      </c>
      <c r="L40" s="13">
        <v>65</v>
      </c>
      <c r="M40" s="12">
        <v>150</v>
      </c>
      <c r="N40" s="13">
        <v>26</v>
      </c>
      <c r="O40" s="19">
        <v>80</v>
      </c>
      <c r="Q40" t="s">
        <v>521</v>
      </c>
    </row>
    <row r="41" spans="3:17" x14ac:dyDescent="0.2">
      <c r="C41" s="1" t="s">
        <v>102</v>
      </c>
      <c r="D41" t="s">
        <v>324</v>
      </c>
      <c r="E41" t="s">
        <v>326</v>
      </c>
      <c r="F41" s="1" t="s">
        <v>365</v>
      </c>
      <c r="H41" s="12" t="s">
        <v>32</v>
      </c>
      <c r="I41" s="11" t="s">
        <v>1270</v>
      </c>
      <c r="J41" s="12" t="s">
        <v>52</v>
      </c>
      <c r="K41" s="13">
        <v>9.9</v>
      </c>
      <c r="L41" s="13">
        <v>72</v>
      </c>
      <c r="M41" s="12">
        <v>170</v>
      </c>
      <c r="N41" s="13">
        <v>26</v>
      </c>
      <c r="O41" s="19">
        <v>89.5</v>
      </c>
      <c r="Q41" t="s">
        <v>522</v>
      </c>
    </row>
    <row r="42" spans="3:17" x14ac:dyDescent="0.2">
      <c r="C42" s="1" t="s">
        <v>103</v>
      </c>
      <c r="D42" t="s">
        <v>324</v>
      </c>
      <c r="E42" t="s">
        <v>326</v>
      </c>
      <c r="F42" s="1" t="s">
        <v>366</v>
      </c>
      <c r="H42" s="12" t="s">
        <v>33</v>
      </c>
      <c r="I42" s="11" t="s">
        <v>1271</v>
      </c>
      <c r="J42" s="12" t="s">
        <v>52</v>
      </c>
      <c r="K42" s="13">
        <v>10.199999999999999</v>
      </c>
      <c r="L42" s="13">
        <v>86</v>
      </c>
      <c r="M42" s="12">
        <v>210</v>
      </c>
      <c r="N42" s="13">
        <v>26</v>
      </c>
      <c r="O42" s="19">
        <v>103.36</v>
      </c>
      <c r="Q42" t="s">
        <v>523</v>
      </c>
    </row>
    <row r="43" spans="3:17" x14ac:dyDescent="0.2">
      <c r="C43" s="1" t="s">
        <v>149</v>
      </c>
      <c r="D43" t="s">
        <v>324</v>
      </c>
      <c r="E43" t="s">
        <v>326</v>
      </c>
      <c r="F43" s="1" t="s">
        <v>367</v>
      </c>
      <c r="H43" s="12" t="s">
        <v>34</v>
      </c>
      <c r="I43" s="11" t="s">
        <v>1272</v>
      </c>
      <c r="J43" s="12" t="s">
        <v>52</v>
      </c>
      <c r="K43" s="13">
        <v>10.9</v>
      </c>
      <c r="L43" s="12">
        <v>101</v>
      </c>
      <c r="M43" s="12">
        <v>225</v>
      </c>
      <c r="N43" s="13">
        <v>26</v>
      </c>
      <c r="O43" s="19">
        <v>119.77</v>
      </c>
      <c r="Q43" t="s">
        <v>524</v>
      </c>
    </row>
    <row r="44" spans="3:17" x14ac:dyDescent="0.2">
      <c r="C44" s="1" t="s">
        <v>150</v>
      </c>
      <c r="D44" t="s">
        <v>324</v>
      </c>
      <c r="E44" t="s">
        <v>326</v>
      </c>
      <c r="F44" s="1" t="s">
        <v>368</v>
      </c>
      <c r="H44" s="12" t="s">
        <v>168</v>
      </c>
      <c r="I44" s="11" t="s">
        <v>1273</v>
      </c>
      <c r="J44" s="12" t="s">
        <v>52</v>
      </c>
      <c r="K44" s="13">
        <v>11.2</v>
      </c>
      <c r="L44" s="12">
        <v>115</v>
      </c>
      <c r="M44" s="12">
        <v>240</v>
      </c>
      <c r="N44" s="13">
        <v>26</v>
      </c>
      <c r="O44" s="19">
        <v>138.82</v>
      </c>
      <c r="Q44" t="s">
        <v>525</v>
      </c>
    </row>
    <row r="45" spans="3:17" x14ac:dyDescent="0.2">
      <c r="C45" s="1" t="s">
        <v>151</v>
      </c>
      <c r="D45" t="s">
        <v>324</v>
      </c>
      <c r="E45" t="s">
        <v>326</v>
      </c>
      <c r="F45" s="1" t="s">
        <v>369</v>
      </c>
      <c r="H45" s="12" t="s">
        <v>35</v>
      </c>
      <c r="I45" s="11" t="s">
        <v>1274</v>
      </c>
      <c r="J45" s="12" t="s">
        <v>52</v>
      </c>
      <c r="K45" s="13">
        <v>12.1</v>
      </c>
      <c r="L45" s="12">
        <v>130</v>
      </c>
      <c r="M45" s="12">
        <v>280</v>
      </c>
      <c r="N45" s="13">
        <v>26</v>
      </c>
      <c r="O45" s="19">
        <v>154.11000000000001</v>
      </c>
      <c r="Q45" t="s">
        <v>526</v>
      </c>
    </row>
    <row r="46" spans="3:17" x14ac:dyDescent="0.2">
      <c r="C46" s="1" t="s">
        <v>152</v>
      </c>
      <c r="D46" t="s">
        <v>324</v>
      </c>
      <c r="E46" t="s">
        <v>326</v>
      </c>
      <c r="F46" s="1" t="s">
        <v>370</v>
      </c>
      <c r="H46" s="12" t="s">
        <v>36</v>
      </c>
      <c r="I46" s="11" t="s">
        <v>1275</v>
      </c>
      <c r="J46" s="12" t="s">
        <v>52</v>
      </c>
      <c r="K46" s="13">
        <v>13</v>
      </c>
      <c r="L46" s="12">
        <v>144</v>
      </c>
      <c r="M46" s="12">
        <v>310</v>
      </c>
      <c r="N46" s="13">
        <v>26</v>
      </c>
      <c r="O46" s="19">
        <f>O47*20/21</f>
        <v>179.53333333333333</v>
      </c>
      <c r="Q46" t="s">
        <v>527</v>
      </c>
    </row>
    <row r="47" spans="3:17" x14ac:dyDescent="0.2">
      <c r="C47" s="1" t="s">
        <v>153</v>
      </c>
      <c r="D47" t="s">
        <v>324</v>
      </c>
      <c r="E47" t="s">
        <v>326</v>
      </c>
      <c r="F47" s="1" t="s">
        <v>371</v>
      </c>
      <c r="H47" s="12" t="s">
        <v>37</v>
      </c>
      <c r="I47" s="11" t="s">
        <v>1276</v>
      </c>
      <c r="J47" s="12" t="s">
        <v>52</v>
      </c>
      <c r="K47" s="13">
        <v>13.4</v>
      </c>
      <c r="L47" s="12">
        <v>151</v>
      </c>
      <c r="M47" s="12">
        <v>325</v>
      </c>
      <c r="N47" s="13">
        <v>26</v>
      </c>
      <c r="O47" s="19">
        <v>188.51</v>
      </c>
      <c r="Q47" t="s">
        <v>528</v>
      </c>
    </row>
    <row r="48" spans="3:17" x14ac:dyDescent="0.2">
      <c r="C48" s="1" t="s">
        <v>154</v>
      </c>
      <c r="D48" t="s">
        <v>324</v>
      </c>
      <c r="E48" t="s">
        <v>326</v>
      </c>
      <c r="F48" s="1" t="s">
        <v>372</v>
      </c>
      <c r="H48" s="12" t="s">
        <v>38</v>
      </c>
      <c r="I48" s="11" t="s">
        <v>1277</v>
      </c>
      <c r="J48" s="12" t="s">
        <v>52</v>
      </c>
      <c r="K48" s="13">
        <v>14.2</v>
      </c>
      <c r="L48" s="12">
        <v>180</v>
      </c>
      <c r="M48" s="12">
        <v>370</v>
      </c>
      <c r="N48" s="13">
        <v>26</v>
      </c>
      <c r="O48" s="19">
        <v>207.2</v>
      </c>
      <c r="Q48" t="s">
        <v>529</v>
      </c>
    </row>
    <row r="49" spans="3:17" x14ac:dyDescent="0.2">
      <c r="C49" s="1" t="s">
        <v>155</v>
      </c>
      <c r="D49" t="s">
        <v>324</v>
      </c>
      <c r="E49" t="s">
        <v>326</v>
      </c>
      <c r="F49" s="1" t="s">
        <v>373</v>
      </c>
      <c r="H49" s="12" t="s">
        <v>39</v>
      </c>
      <c r="I49" s="11" t="s">
        <v>1278</v>
      </c>
      <c r="J49" s="12" t="s">
        <v>52</v>
      </c>
      <c r="K49" s="13">
        <v>15.1</v>
      </c>
      <c r="L49" s="12">
        <v>216</v>
      </c>
      <c r="M49" s="12">
        <v>440</v>
      </c>
      <c r="N49" s="13">
        <v>26</v>
      </c>
      <c r="O49" s="19">
        <v>258.74</v>
      </c>
      <c r="Q49" t="s">
        <v>530</v>
      </c>
    </row>
    <row r="50" spans="3:17" x14ac:dyDescent="0.2">
      <c r="C50" s="1" t="s">
        <v>156</v>
      </c>
      <c r="D50" t="s">
        <v>324</v>
      </c>
      <c r="E50" t="s">
        <v>326</v>
      </c>
      <c r="F50" s="1" t="s">
        <v>374</v>
      </c>
      <c r="H50" s="12" t="s">
        <v>40</v>
      </c>
      <c r="I50" s="11" t="s">
        <v>1279</v>
      </c>
      <c r="J50" s="12" t="s">
        <v>52</v>
      </c>
      <c r="K50" s="13">
        <v>16.100000000000001</v>
      </c>
      <c r="L50" s="12">
        <v>223</v>
      </c>
      <c r="M50" s="12">
        <v>455</v>
      </c>
      <c r="N50" s="13">
        <v>26</v>
      </c>
      <c r="O50" s="19">
        <v>262</v>
      </c>
      <c r="Q50" t="s">
        <v>531</v>
      </c>
    </row>
    <row r="51" spans="3:17" x14ac:dyDescent="0.2">
      <c r="C51" s="1" t="s">
        <v>157</v>
      </c>
      <c r="D51" t="s">
        <v>324</v>
      </c>
      <c r="E51" t="s">
        <v>326</v>
      </c>
      <c r="F51" s="1" t="s">
        <v>375</v>
      </c>
      <c r="H51" s="12" t="s">
        <v>41</v>
      </c>
      <c r="I51" s="11" t="s">
        <v>1280</v>
      </c>
      <c r="J51" s="12" t="s">
        <v>52</v>
      </c>
      <c r="K51" s="13">
        <v>16.2</v>
      </c>
      <c r="L51" s="12">
        <v>230</v>
      </c>
      <c r="M51" s="12">
        <v>460</v>
      </c>
      <c r="N51" s="13">
        <v>26</v>
      </c>
      <c r="O51" s="19">
        <v>264.17</v>
      </c>
      <c r="Q51" t="s">
        <v>532</v>
      </c>
    </row>
    <row r="52" spans="3:17" x14ac:dyDescent="0.2">
      <c r="C52" s="1" t="s">
        <v>158</v>
      </c>
      <c r="D52" t="s">
        <v>324</v>
      </c>
      <c r="E52" t="s">
        <v>326</v>
      </c>
      <c r="F52" s="1" t="s">
        <v>376</v>
      </c>
      <c r="H52" s="12" t="s">
        <v>42</v>
      </c>
      <c r="I52" s="11" t="s">
        <v>1281</v>
      </c>
      <c r="J52" s="12" t="s">
        <v>52</v>
      </c>
      <c r="K52" s="13">
        <v>16.3</v>
      </c>
      <c r="L52" s="12">
        <v>245</v>
      </c>
      <c r="M52" s="12">
        <v>500</v>
      </c>
      <c r="N52" s="13">
        <v>26</v>
      </c>
      <c r="O52" s="19">
        <v>309.20999999999998</v>
      </c>
      <c r="Q52" t="s">
        <v>533</v>
      </c>
    </row>
    <row r="53" spans="3:17" x14ac:dyDescent="0.2">
      <c r="C53" s="1" t="s">
        <v>159</v>
      </c>
      <c r="D53" t="s">
        <v>324</v>
      </c>
      <c r="E53" t="s">
        <v>326</v>
      </c>
      <c r="F53" s="1" t="s">
        <v>377</v>
      </c>
      <c r="H53" s="12" t="s">
        <v>43</v>
      </c>
      <c r="I53" s="11" t="s">
        <v>1282</v>
      </c>
      <c r="J53" s="12" t="s">
        <v>52</v>
      </c>
      <c r="K53" s="13">
        <v>16.5</v>
      </c>
      <c r="L53" s="12">
        <v>260</v>
      </c>
      <c r="M53" s="12">
        <v>535</v>
      </c>
      <c r="N53" s="13">
        <v>26</v>
      </c>
      <c r="O53" s="19">
        <v>347</v>
      </c>
      <c r="Q53" t="s">
        <v>534</v>
      </c>
    </row>
    <row r="54" spans="3:17" x14ac:dyDescent="0.2">
      <c r="C54" s="1" t="s">
        <v>160</v>
      </c>
      <c r="D54" t="s">
        <v>324</v>
      </c>
      <c r="E54" t="s">
        <v>326</v>
      </c>
      <c r="F54" s="1" t="s">
        <v>378</v>
      </c>
      <c r="H54" s="12" t="s">
        <v>44</v>
      </c>
      <c r="I54" s="11" t="s">
        <v>1283</v>
      </c>
      <c r="J54" s="12" t="s">
        <v>52</v>
      </c>
      <c r="K54" s="13">
        <v>17.5</v>
      </c>
      <c r="L54" s="12">
        <v>288</v>
      </c>
      <c r="M54" s="12">
        <v>570</v>
      </c>
      <c r="N54" s="13">
        <v>26</v>
      </c>
      <c r="O54" s="19">
        <f>O56/42*40</f>
        <v>383.7619047619047</v>
      </c>
      <c r="Q54" t="s">
        <v>535</v>
      </c>
    </row>
    <row r="55" spans="3:17" x14ac:dyDescent="0.2">
      <c r="C55" s="1" t="s">
        <v>161</v>
      </c>
      <c r="D55" t="s">
        <v>324</v>
      </c>
      <c r="E55" t="s">
        <v>326</v>
      </c>
      <c r="F55" s="1" t="s">
        <v>379</v>
      </c>
      <c r="H55" s="12" t="s">
        <v>45</v>
      </c>
      <c r="I55" s="11" t="s">
        <v>1284</v>
      </c>
      <c r="J55" s="12" t="s">
        <v>52</v>
      </c>
      <c r="K55" s="13">
        <v>17.7</v>
      </c>
      <c r="L55" s="12">
        <v>296</v>
      </c>
      <c r="M55" s="12">
        <v>580</v>
      </c>
      <c r="N55" s="13">
        <v>26</v>
      </c>
      <c r="O55" s="19">
        <f>O56/42*41</f>
        <v>393.35595238095237</v>
      </c>
      <c r="Q55" t="s">
        <v>536</v>
      </c>
    </row>
    <row r="56" spans="3:17" x14ac:dyDescent="0.2">
      <c r="C56" s="1" t="s">
        <v>162</v>
      </c>
      <c r="D56" t="s">
        <v>324</v>
      </c>
      <c r="E56" t="s">
        <v>326</v>
      </c>
      <c r="F56" s="1" t="s">
        <v>380</v>
      </c>
      <c r="H56" s="12" t="s">
        <v>46</v>
      </c>
      <c r="I56" s="11" t="s">
        <v>1285</v>
      </c>
      <c r="J56" s="12" t="s">
        <v>52</v>
      </c>
      <c r="K56" s="13">
        <v>17.8</v>
      </c>
      <c r="L56" s="12">
        <v>302</v>
      </c>
      <c r="M56" s="12">
        <v>590</v>
      </c>
      <c r="N56" s="13">
        <v>26</v>
      </c>
      <c r="O56" s="19">
        <v>402.95</v>
      </c>
      <c r="Q56" t="s">
        <v>537</v>
      </c>
    </row>
    <row r="57" spans="3:17" x14ac:dyDescent="0.2">
      <c r="C57" s="1" t="s">
        <v>163</v>
      </c>
      <c r="D57" t="s">
        <v>324</v>
      </c>
      <c r="E57" t="s">
        <v>326</v>
      </c>
      <c r="F57" s="1" t="s">
        <v>381</v>
      </c>
      <c r="H57" s="12" t="s">
        <v>47</v>
      </c>
      <c r="I57" s="11" t="s">
        <v>1286</v>
      </c>
      <c r="J57" s="12" t="s">
        <v>52</v>
      </c>
      <c r="K57" s="13">
        <v>19.5</v>
      </c>
      <c r="L57" s="12">
        <v>360</v>
      </c>
      <c r="M57" s="12">
        <v>640</v>
      </c>
      <c r="N57" s="13">
        <v>26</v>
      </c>
      <c r="O57" s="19">
        <v>541.88</v>
      </c>
      <c r="Q57" t="s">
        <v>538</v>
      </c>
    </row>
    <row r="58" spans="3:17" x14ac:dyDescent="0.2">
      <c r="C58" s="1" t="s">
        <v>173</v>
      </c>
      <c r="D58" t="s">
        <v>324</v>
      </c>
      <c r="E58" t="s">
        <v>326</v>
      </c>
      <c r="F58" s="1" t="s">
        <v>382</v>
      </c>
      <c r="H58" s="12" t="s">
        <v>48</v>
      </c>
      <c r="I58" s="11" t="s">
        <v>1287</v>
      </c>
      <c r="J58" s="12" t="s">
        <v>52</v>
      </c>
      <c r="K58" s="13">
        <v>20.8</v>
      </c>
      <c r="L58" s="12">
        <v>439</v>
      </c>
      <c r="M58" s="12">
        <v>775</v>
      </c>
      <c r="N58" s="13">
        <v>26</v>
      </c>
      <c r="O58" s="19">
        <v>665.89</v>
      </c>
      <c r="Q58" t="s">
        <v>539</v>
      </c>
    </row>
    <row r="59" spans="3:17" x14ac:dyDescent="0.2">
      <c r="C59" s="1" t="s">
        <v>174</v>
      </c>
      <c r="D59" t="s">
        <v>324</v>
      </c>
      <c r="E59" t="s">
        <v>326</v>
      </c>
      <c r="F59" s="1" t="s">
        <v>383</v>
      </c>
      <c r="H59" s="12" t="s">
        <v>49</v>
      </c>
      <c r="I59" s="11" t="s">
        <v>1288</v>
      </c>
      <c r="J59" s="12" t="s">
        <v>52</v>
      </c>
      <c r="K59" s="13">
        <v>21.9</v>
      </c>
      <c r="L59" s="12">
        <v>468</v>
      </c>
      <c r="M59" s="12">
        <v>895</v>
      </c>
      <c r="N59" s="13">
        <v>26</v>
      </c>
      <c r="O59" s="19" t="s">
        <v>904</v>
      </c>
      <c r="Q59" t="s">
        <v>540</v>
      </c>
    </row>
    <row r="60" spans="3:17" x14ac:dyDescent="0.2">
      <c r="C60" s="1" t="s">
        <v>175</v>
      </c>
      <c r="D60" t="s">
        <v>324</v>
      </c>
      <c r="E60" t="s">
        <v>326</v>
      </c>
      <c r="F60" s="1" t="s">
        <v>384</v>
      </c>
      <c r="H60" s="12" t="s">
        <v>50</v>
      </c>
      <c r="I60" s="11" t="s">
        <v>1289</v>
      </c>
      <c r="J60" s="12" t="s">
        <v>52</v>
      </c>
      <c r="K60" s="13">
        <v>24</v>
      </c>
      <c r="L60" s="12">
        <v>576</v>
      </c>
      <c r="M60" s="12">
        <v>1155</v>
      </c>
      <c r="N60" s="13">
        <v>26</v>
      </c>
      <c r="O60" s="19" t="s">
        <v>904</v>
      </c>
      <c r="Q60" t="s">
        <v>541</v>
      </c>
    </row>
    <row r="61" spans="3:17" x14ac:dyDescent="0.2">
      <c r="C61" s="1" t="s">
        <v>176</v>
      </c>
      <c r="D61" t="s">
        <v>324</v>
      </c>
      <c r="E61" t="s">
        <v>326</v>
      </c>
      <c r="F61" s="1" t="s">
        <v>385</v>
      </c>
      <c r="H61" s="12" t="s">
        <v>51</v>
      </c>
      <c r="I61" s="11" t="s">
        <v>1290</v>
      </c>
      <c r="J61" s="12" t="s">
        <v>52</v>
      </c>
      <c r="K61" s="13">
        <v>26.4</v>
      </c>
      <c r="L61" s="12">
        <v>720</v>
      </c>
      <c r="M61" s="12">
        <v>1310</v>
      </c>
      <c r="N61" s="13">
        <v>26</v>
      </c>
      <c r="O61" s="19" t="s">
        <v>904</v>
      </c>
      <c r="Q61" t="s">
        <v>542</v>
      </c>
    </row>
    <row r="62" spans="3:17" ht="3.6" customHeight="1" x14ac:dyDescent="0.2">
      <c r="H62" s="15"/>
      <c r="I62" s="16"/>
      <c r="J62" s="15"/>
      <c r="K62" s="17"/>
      <c r="L62" s="15"/>
      <c r="M62" s="15"/>
      <c r="N62" s="15"/>
      <c r="O62" s="20"/>
    </row>
    <row r="63" spans="3:17" x14ac:dyDescent="0.2">
      <c r="C63" s="1" t="s">
        <v>104</v>
      </c>
      <c r="D63" t="s">
        <v>323</v>
      </c>
      <c r="E63" t="s">
        <v>325</v>
      </c>
      <c r="F63" s="1" t="s">
        <v>329</v>
      </c>
      <c r="H63" s="12" t="s">
        <v>204</v>
      </c>
      <c r="I63" s="11" t="s">
        <v>1291</v>
      </c>
      <c r="J63" s="12" t="s">
        <v>84</v>
      </c>
      <c r="K63" s="13">
        <v>5.8</v>
      </c>
      <c r="L63" s="12">
        <v>19.2</v>
      </c>
      <c r="M63" s="12">
        <v>57</v>
      </c>
      <c r="N63" s="12">
        <v>19.5</v>
      </c>
      <c r="O63" s="19">
        <v>23.52</v>
      </c>
      <c r="Q63" t="s">
        <v>543</v>
      </c>
    </row>
    <row r="64" spans="3:17" x14ac:dyDescent="0.2">
      <c r="C64" s="1" t="s">
        <v>105</v>
      </c>
      <c r="D64" t="s">
        <v>324</v>
      </c>
      <c r="E64" t="s">
        <v>326</v>
      </c>
      <c r="F64" s="1" t="s">
        <v>386</v>
      </c>
      <c r="H64" s="12" t="s">
        <v>53</v>
      </c>
      <c r="I64" s="11" t="s">
        <v>1292</v>
      </c>
      <c r="J64" s="12" t="s">
        <v>84</v>
      </c>
      <c r="K64" s="13">
        <v>6.3</v>
      </c>
      <c r="L64" s="12">
        <v>28.8</v>
      </c>
      <c r="M64" s="12">
        <v>80</v>
      </c>
      <c r="N64" s="12">
        <v>19.5</v>
      </c>
      <c r="O64" s="19">
        <v>32.06</v>
      </c>
      <c r="Q64" t="s">
        <v>544</v>
      </c>
    </row>
    <row r="65" spans="3:17" x14ac:dyDescent="0.2">
      <c r="C65" s="1" t="s">
        <v>106</v>
      </c>
      <c r="D65" t="s">
        <v>324</v>
      </c>
      <c r="E65" t="s">
        <v>326</v>
      </c>
      <c r="F65" s="1" t="s">
        <v>387</v>
      </c>
      <c r="H65" s="12" t="s">
        <v>54</v>
      </c>
      <c r="I65" s="11" t="s">
        <v>1293</v>
      </c>
      <c r="J65" s="12" t="s">
        <v>84</v>
      </c>
      <c r="K65" s="13">
        <v>6.7</v>
      </c>
      <c r="L65" s="12">
        <v>38.4</v>
      </c>
      <c r="M65" s="12">
        <v>105</v>
      </c>
      <c r="N65" s="12">
        <v>19.5</v>
      </c>
      <c r="O65" s="19">
        <v>43.32</v>
      </c>
      <c r="Q65" t="s">
        <v>545</v>
      </c>
    </row>
    <row r="66" spans="3:17" x14ac:dyDescent="0.2">
      <c r="C66" s="1" t="s">
        <v>107</v>
      </c>
      <c r="D66" t="s">
        <v>324</v>
      </c>
      <c r="E66" t="s">
        <v>326</v>
      </c>
      <c r="F66" s="1" t="s">
        <v>388</v>
      </c>
      <c r="H66" s="12" t="s">
        <v>55</v>
      </c>
      <c r="I66" s="11" t="s">
        <v>1294</v>
      </c>
      <c r="J66" s="12" t="s">
        <v>84</v>
      </c>
      <c r="K66" s="13">
        <v>7.3</v>
      </c>
      <c r="L66" s="13">
        <v>48</v>
      </c>
      <c r="M66" s="12">
        <v>125</v>
      </c>
      <c r="N66" s="12">
        <v>19.5</v>
      </c>
      <c r="O66" s="19">
        <v>53.51</v>
      </c>
      <c r="Q66" t="s">
        <v>546</v>
      </c>
    </row>
    <row r="67" spans="3:17" x14ac:dyDescent="0.2">
      <c r="C67" s="1" t="s">
        <v>108</v>
      </c>
      <c r="D67" t="s">
        <v>324</v>
      </c>
      <c r="E67" t="s">
        <v>326</v>
      </c>
      <c r="F67" s="1" t="s">
        <v>389</v>
      </c>
      <c r="H67" s="12" t="s">
        <v>56</v>
      </c>
      <c r="I67" s="11" t="s">
        <v>1295</v>
      </c>
      <c r="J67" s="12" t="s">
        <v>84</v>
      </c>
      <c r="K67" s="13">
        <v>8.1</v>
      </c>
      <c r="L67" s="13">
        <v>57.6</v>
      </c>
      <c r="M67" s="12">
        <v>135</v>
      </c>
      <c r="N67" s="12">
        <v>19.5</v>
      </c>
      <c r="O67" s="19">
        <v>68</v>
      </c>
      <c r="Q67" t="s">
        <v>547</v>
      </c>
    </row>
    <row r="68" spans="3:17" x14ac:dyDescent="0.2">
      <c r="C68" s="1" t="s">
        <v>109</v>
      </c>
      <c r="D68" t="s">
        <v>324</v>
      </c>
      <c r="E68" t="s">
        <v>326</v>
      </c>
      <c r="F68" s="1" t="s">
        <v>390</v>
      </c>
      <c r="H68" s="12" t="s">
        <v>57</v>
      </c>
      <c r="I68" s="11" t="s">
        <v>1296</v>
      </c>
      <c r="J68" s="12" t="s">
        <v>84</v>
      </c>
      <c r="K68" s="13">
        <v>8.3000000000000007</v>
      </c>
      <c r="L68" s="13">
        <v>67</v>
      </c>
      <c r="M68" s="12">
        <v>150</v>
      </c>
      <c r="N68" s="12">
        <v>19.5</v>
      </c>
      <c r="O68" s="19">
        <v>77.34</v>
      </c>
      <c r="Q68" t="s">
        <v>548</v>
      </c>
    </row>
    <row r="69" spans="3:17" x14ac:dyDescent="0.2">
      <c r="C69" s="1" t="s">
        <v>110</v>
      </c>
      <c r="D69" t="s">
        <v>324</v>
      </c>
      <c r="E69" t="s">
        <v>326</v>
      </c>
      <c r="F69" s="1" t="s">
        <v>391</v>
      </c>
      <c r="H69" s="12" t="s">
        <v>58</v>
      </c>
      <c r="I69" s="11" t="s">
        <v>1297</v>
      </c>
      <c r="J69" s="12" t="s">
        <v>84</v>
      </c>
      <c r="K69" s="13">
        <v>9.5</v>
      </c>
      <c r="L69" s="13">
        <v>77</v>
      </c>
      <c r="M69" s="12">
        <v>175</v>
      </c>
      <c r="N69" s="12">
        <v>19.5</v>
      </c>
      <c r="O69" s="19">
        <v>88.97</v>
      </c>
      <c r="Q69" t="s">
        <v>549</v>
      </c>
    </row>
    <row r="70" spans="3:17" x14ac:dyDescent="0.2">
      <c r="C70" s="1" t="s">
        <v>111</v>
      </c>
      <c r="D70" t="s">
        <v>324</v>
      </c>
      <c r="E70" t="s">
        <v>326</v>
      </c>
      <c r="F70" s="1" t="s">
        <v>392</v>
      </c>
      <c r="H70" s="12" t="s">
        <v>59</v>
      </c>
      <c r="I70" s="11" t="s">
        <v>1298</v>
      </c>
      <c r="J70" s="12" t="s">
        <v>84</v>
      </c>
      <c r="K70" s="13">
        <v>10.3</v>
      </c>
      <c r="L70" s="13">
        <v>86.4</v>
      </c>
      <c r="M70" s="12">
        <v>200</v>
      </c>
      <c r="N70" s="12">
        <v>19.5</v>
      </c>
      <c r="O70" s="19">
        <v>100</v>
      </c>
      <c r="Q70" t="s">
        <v>550</v>
      </c>
    </row>
    <row r="71" spans="3:17" x14ac:dyDescent="0.2">
      <c r="C71" s="1" t="s">
        <v>112</v>
      </c>
      <c r="D71" t="s">
        <v>324</v>
      </c>
      <c r="E71" t="s">
        <v>326</v>
      </c>
      <c r="F71" s="1" t="s">
        <v>393</v>
      </c>
      <c r="H71" s="12" t="s">
        <v>60</v>
      </c>
      <c r="I71" s="11" t="s">
        <v>1299</v>
      </c>
      <c r="J71" s="12" t="s">
        <v>84</v>
      </c>
      <c r="K71" s="13">
        <v>10.5</v>
      </c>
      <c r="L71" s="13">
        <v>96</v>
      </c>
      <c r="M71" s="12">
        <v>220</v>
      </c>
      <c r="N71" s="12">
        <v>19.5</v>
      </c>
      <c r="O71" s="19">
        <v>110.81</v>
      </c>
      <c r="Q71" t="s">
        <v>551</v>
      </c>
    </row>
    <row r="72" spans="3:17" x14ac:dyDescent="0.2">
      <c r="C72" s="1" t="s">
        <v>113</v>
      </c>
      <c r="D72" t="s">
        <v>324</v>
      </c>
      <c r="E72" t="s">
        <v>326</v>
      </c>
      <c r="F72" s="1" t="s">
        <v>394</v>
      </c>
      <c r="H72" s="12" t="s">
        <v>61</v>
      </c>
      <c r="I72" s="11" t="s">
        <v>1300</v>
      </c>
      <c r="J72" s="12" t="s">
        <v>84</v>
      </c>
      <c r="K72" s="13">
        <v>10.8</v>
      </c>
      <c r="L72" s="12">
        <v>115</v>
      </c>
      <c r="M72" s="12">
        <v>260</v>
      </c>
      <c r="N72" s="12">
        <v>19.5</v>
      </c>
      <c r="O72" s="19">
        <v>132.76</v>
      </c>
      <c r="Q72" t="s">
        <v>552</v>
      </c>
    </row>
    <row r="73" spans="3:17" x14ac:dyDescent="0.2">
      <c r="C73" s="1" t="s">
        <v>177</v>
      </c>
      <c r="D73" t="s">
        <v>324</v>
      </c>
      <c r="E73" t="s">
        <v>326</v>
      </c>
      <c r="F73" s="1" t="s">
        <v>395</v>
      </c>
      <c r="H73" s="12" t="s">
        <v>62</v>
      </c>
      <c r="I73" s="11" t="s">
        <v>1301</v>
      </c>
      <c r="J73" s="12" t="s">
        <v>84</v>
      </c>
      <c r="K73" s="13">
        <v>11.6</v>
      </c>
      <c r="L73" s="12">
        <v>134</v>
      </c>
      <c r="M73" s="12">
        <v>290</v>
      </c>
      <c r="N73" s="12">
        <v>19.5</v>
      </c>
      <c r="O73" s="19">
        <v>156.33000000000001</v>
      </c>
      <c r="Q73" t="s">
        <v>553</v>
      </c>
    </row>
    <row r="74" spans="3:17" x14ac:dyDescent="0.2">
      <c r="C74" s="1" t="s">
        <v>178</v>
      </c>
      <c r="D74" t="s">
        <v>324</v>
      </c>
      <c r="E74" t="s">
        <v>326</v>
      </c>
      <c r="F74" s="1" t="s">
        <v>396</v>
      </c>
      <c r="H74" s="12" t="s">
        <v>63</v>
      </c>
      <c r="I74" s="11" t="s">
        <v>1302</v>
      </c>
      <c r="J74" s="12" t="s">
        <v>84</v>
      </c>
      <c r="K74" s="13">
        <v>12.1</v>
      </c>
      <c r="L74" s="12">
        <v>154</v>
      </c>
      <c r="M74" s="12">
        <v>320</v>
      </c>
      <c r="N74" s="12">
        <v>19.5</v>
      </c>
      <c r="O74" s="19">
        <v>182</v>
      </c>
      <c r="Q74" t="s">
        <v>554</v>
      </c>
    </row>
    <row r="75" spans="3:17" x14ac:dyDescent="0.2">
      <c r="C75" s="1" t="s">
        <v>179</v>
      </c>
      <c r="D75" t="s">
        <v>324</v>
      </c>
      <c r="E75" t="s">
        <v>326</v>
      </c>
      <c r="F75" s="1" t="s">
        <v>397</v>
      </c>
      <c r="H75" s="12" t="s">
        <v>64</v>
      </c>
      <c r="I75" s="11" t="s">
        <v>1303</v>
      </c>
      <c r="J75" s="12" t="s">
        <v>84</v>
      </c>
      <c r="K75" s="13">
        <v>12.9</v>
      </c>
      <c r="L75" s="12">
        <v>173</v>
      </c>
      <c r="M75" s="12">
        <v>350</v>
      </c>
      <c r="N75" s="12">
        <v>19.5</v>
      </c>
      <c r="O75" s="19">
        <v>199.23</v>
      </c>
      <c r="Q75" t="s">
        <v>555</v>
      </c>
    </row>
    <row r="76" spans="3:17" x14ac:dyDescent="0.2">
      <c r="C76" s="1" t="s">
        <v>180</v>
      </c>
      <c r="D76" t="s">
        <v>324</v>
      </c>
      <c r="E76" t="s">
        <v>326</v>
      </c>
      <c r="F76" s="1" t="s">
        <v>398</v>
      </c>
      <c r="H76" s="12" t="s">
        <v>65</v>
      </c>
      <c r="I76" s="11" t="s">
        <v>1304</v>
      </c>
      <c r="J76" s="12" t="s">
        <v>84</v>
      </c>
      <c r="K76" s="13">
        <v>13</v>
      </c>
      <c r="L76" s="12">
        <v>182</v>
      </c>
      <c r="M76" s="12">
        <v>360</v>
      </c>
      <c r="N76" s="12">
        <v>19.5</v>
      </c>
      <c r="O76" s="19">
        <v>209</v>
      </c>
      <c r="Q76" t="s">
        <v>556</v>
      </c>
    </row>
    <row r="77" spans="3:17" x14ac:dyDescent="0.2">
      <c r="C77" s="1" t="s">
        <v>181</v>
      </c>
      <c r="D77" t="s">
        <v>324</v>
      </c>
      <c r="E77" t="s">
        <v>326</v>
      </c>
      <c r="F77" s="1" t="s">
        <v>399</v>
      </c>
      <c r="H77" s="12" t="s">
        <v>66</v>
      </c>
      <c r="I77" s="11" t="s">
        <v>1305</v>
      </c>
      <c r="J77" s="12" t="s">
        <v>84</v>
      </c>
      <c r="K77" s="13">
        <v>13.7</v>
      </c>
      <c r="L77" s="12">
        <v>192</v>
      </c>
      <c r="M77" s="12">
        <v>370</v>
      </c>
      <c r="N77" s="12">
        <v>19.5</v>
      </c>
      <c r="O77" s="19">
        <v>218</v>
      </c>
      <c r="Q77" t="s">
        <v>557</v>
      </c>
    </row>
    <row r="78" spans="3:17" x14ac:dyDescent="0.2">
      <c r="C78" s="1" t="s">
        <v>182</v>
      </c>
      <c r="D78" t="s">
        <v>324</v>
      </c>
      <c r="E78" t="s">
        <v>326</v>
      </c>
      <c r="F78" s="1" t="s">
        <v>400</v>
      </c>
      <c r="H78" s="12" t="s">
        <v>67</v>
      </c>
      <c r="I78" s="11" t="s">
        <v>1306</v>
      </c>
      <c r="J78" s="12" t="s">
        <v>84</v>
      </c>
      <c r="K78" s="13">
        <v>14.1</v>
      </c>
      <c r="L78" s="12">
        <v>205</v>
      </c>
      <c r="M78" s="12">
        <v>380</v>
      </c>
      <c r="N78" s="12">
        <v>19.5</v>
      </c>
      <c r="O78" s="19">
        <v>241.01</v>
      </c>
      <c r="Q78" t="s">
        <v>558</v>
      </c>
    </row>
    <row r="79" spans="3:17" x14ac:dyDescent="0.2">
      <c r="C79" s="1" t="s">
        <v>183</v>
      </c>
      <c r="D79" t="s">
        <v>324</v>
      </c>
      <c r="E79" t="s">
        <v>326</v>
      </c>
      <c r="F79" s="1" t="s">
        <v>401</v>
      </c>
      <c r="H79" s="12" t="s">
        <v>68</v>
      </c>
      <c r="I79" s="11" t="s">
        <v>1307</v>
      </c>
      <c r="J79" s="12" t="s">
        <v>84</v>
      </c>
      <c r="K79" s="13">
        <v>14.6</v>
      </c>
      <c r="L79" s="12">
        <v>236</v>
      </c>
      <c r="M79" s="12">
        <v>445</v>
      </c>
      <c r="N79" s="12">
        <v>19.5</v>
      </c>
      <c r="O79" s="19">
        <f>O80/25*24</f>
        <v>271.86239999999998</v>
      </c>
      <c r="Q79" t="s">
        <v>559</v>
      </c>
    </row>
    <row r="80" spans="3:17" x14ac:dyDescent="0.2">
      <c r="C80" s="1" t="s">
        <v>184</v>
      </c>
      <c r="D80" t="s">
        <v>324</v>
      </c>
      <c r="E80" t="s">
        <v>326</v>
      </c>
      <c r="F80" s="1" t="s">
        <v>402</v>
      </c>
      <c r="H80" s="12" t="s">
        <v>69</v>
      </c>
      <c r="I80" s="11" t="s">
        <v>1308</v>
      </c>
      <c r="J80" s="12" t="s">
        <v>84</v>
      </c>
      <c r="K80" s="13">
        <v>14.8</v>
      </c>
      <c r="L80" s="12">
        <v>240</v>
      </c>
      <c r="M80" s="12">
        <v>470</v>
      </c>
      <c r="N80" s="12">
        <v>19.5</v>
      </c>
      <c r="O80" s="19">
        <v>283.19</v>
      </c>
      <c r="Q80" t="s">
        <v>560</v>
      </c>
    </row>
    <row r="81" spans="3:17" x14ac:dyDescent="0.2">
      <c r="C81" s="1" t="s">
        <v>185</v>
      </c>
      <c r="D81" t="s">
        <v>324</v>
      </c>
      <c r="E81" t="s">
        <v>326</v>
      </c>
      <c r="F81" s="1" t="s">
        <v>403</v>
      </c>
      <c r="H81" s="12" t="s">
        <v>70</v>
      </c>
      <c r="I81" s="11" t="s">
        <v>1309</v>
      </c>
      <c r="J81" s="12" t="s">
        <v>84</v>
      </c>
      <c r="K81" s="13">
        <v>15.2</v>
      </c>
      <c r="L81" s="12">
        <v>252</v>
      </c>
      <c r="M81" s="12">
        <v>495</v>
      </c>
      <c r="N81" s="12">
        <v>19.5</v>
      </c>
      <c r="O81" s="19">
        <v>296</v>
      </c>
      <c r="Q81" t="s">
        <v>561</v>
      </c>
    </row>
    <row r="82" spans="3:17" x14ac:dyDescent="0.2">
      <c r="C82" s="1" t="s">
        <v>186</v>
      </c>
      <c r="D82" t="s">
        <v>324</v>
      </c>
      <c r="E82" t="s">
        <v>326</v>
      </c>
      <c r="F82" s="1" t="s">
        <v>404</v>
      </c>
      <c r="H82" s="12" t="s">
        <v>71</v>
      </c>
      <c r="I82" s="11" t="s">
        <v>1310</v>
      </c>
      <c r="J82" s="12" t="s">
        <v>84</v>
      </c>
      <c r="K82" s="13">
        <v>15.9</v>
      </c>
      <c r="L82" s="12">
        <v>259</v>
      </c>
      <c r="M82" s="12">
        <v>530</v>
      </c>
      <c r="N82" s="12">
        <v>19.5</v>
      </c>
      <c r="O82" s="19">
        <v>307.57</v>
      </c>
      <c r="Q82" t="s">
        <v>562</v>
      </c>
    </row>
    <row r="83" spans="3:17" x14ac:dyDescent="0.2">
      <c r="C83" s="1" t="s">
        <v>187</v>
      </c>
      <c r="D83" t="s">
        <v>324</v>
      </c>
      <c r="E83" t="s">
        <v>326</v>
      </c>
      <c r="F83" s="1" t="s">
        <v>405</v>
      </c>
      <c r="H83" s="12" t="s">
        <v>72</v>
      </c>
      <c r="I83" s="11" t="s">
        <v>1311</v>
      </c>
      <c r="J83" s="12" t="s">
        <v>84</v>
      </c>
      <c r="K83" s="13">
        <v>17.2</v>
      </c>
      <c r="L83" s="12">
        <v>326</v>
      </c>
      <c r="M83" s="12">
        <v>600</v>
      </c>
      <c r="N83" s="12">
        <v>19.5</v>
      </c>
      <c r="O83" s="19">
        <v>400.84</v>
      </c>
      <c r="Q83" t="s">
        <v>563</v>
      </c>
    </row>
    <row r="84" spans="3:17" x14ac:dyDescent="0.2">
      <c r="C84" s="1" t="s">
        <v>188</v>
      </c>
      <c r="D84" t="s">
        <v>324</v>
      </c>
      <c r="E84" t="s">
        <v>326</v>
      </c>
      <c r="F84" s="1" t="s">
        <v>406</v>
      </c>
      <c r="H84" s="12" t="s">
        <v>73</v>
      </c>
      <c r="I84" s="11" t="s">
        <v>1312</v>
      </c>
      <c r="J84" s="12" t="s">
        <v>84</v>
      </c>
      <c r="K84" s="13">
        <v>17.5</v>
      </c>
      <c r="L84" s="12">
        <v>346</v>
      </c>
      <c r="M84" s="12">
        <v>620</v>
      </c>
      <c r="N84" s="12">
        <v>19.5</v>
      </c>
      <c r="O84" s="19">
        <v>429</v>
      </c>
      <c r="Q84" t="s">
        <v>564</v>
      </c>
    </row>
    <row r="85" spans="3:17" x14ac:dyDescent="0.2">
      <c r="C85" s="1" t="s">
        <v>189</v>
      </c>
      <c r="D85" t="s">
        <v>324</v>
      </c>
      <c r="E85" t="s">
        <v>326</v>
      </c>
      <c r="F85" s="1" t="s">
        <v>407</v>
      </c>
      <c r="H85" s="12" t="s">
        <v>74</v>
      </c>
      <c r="I85" s="11" t="s">
        <v>1313</v>
      </c>
      <c r="J85" s="12" t="s">
        <v>84</v>
      </c>
      <c r="K85" s="13">
        <v>17.600000000000001</v>
      </c>
      <c r="L85" s="12">
        <v>355</v>
      </c>
      <c r="M85" s="12">
        <v>630</v>
      </c>
      <c r="N85" s="12">
        <v>19.5</v>
      </c>
      <c r="O85" s="19">
        <f>O84/36*37</f>
        <v>440.91666666666663</v>
      </c>
      <c r="Q85" t="s">
        <v>565</v>
      </c>
    </row>
    <row r="86" spans="3:17" x14ac:dyDescent="0.2">
      <c r="C86" s="1" t="s">
        <v>190</v>
      </c>
      <c r="D86" t="s">
        <v>324</v>
      </c>
      <c r="E86" t="s">
        <v>326</v>
      </c>
      <c r="F86" s="1" t="s">
        <v>408</v>
      </c>
      <c r="H86" s="12" t="s">
        <v>75</v>
      </c>
      <c r="I86" s="11" t="s">
        <v>1314</v>
      </c>
      <c r="J86" s="12" t="s">
        <v>84</v>
      </c>
      <c r="K86" s="13">
        <v>18.399999999999999</v>
      </c>
      <c r="L86" s="12">
        <v>384</v>
      </c>
      <c r="M86" s="12">
        <v>680</v>
      </c>
      <c r="N86" s="12">
        <v>19.5</v>
      </c>
      <c r="O86" s="19">
        <f>O88/42*40</f>
        <v>464.63809523809522</v>
      </c>
      <c r="Q86" t="s">
        <v>566</v>
      </c>
    </row>
    <row r="87" spans="3:17" x14ac:dyDescent="0.2">
      <c r="C87" s="1" t="s">
        <v>191</v>
      </c>
      <c r="D87" t="s">
        <v>324</v>
      </c>
      <c r="E87" t="s">
        <v>326</v>
      </c>
      <c r="F87" s="1" t="s">
        <v>409</v>
      </c>
      <c r="H87" s="12" t="s">
        <v>76</v>
      </c>
      <c r="I87" s="11" t="s">
        <v>1315</v>
      </c>
      <c r="J87" s="12" t="s">
        <v>84</v>
      </c>
      <c r="K87" s="13">
        <v>18.899999999999999</v>
      </c>
      <c r="L87" s="12">
        <v>394</v>
      </c>
      <c r="M87" s="12">
        <v>700</v>
      </c>
      <c r="N87" s="12">
        <v>19.5</v>
      </c>
      <c r="O87" s="19">
        <f>O88/42*41</f>
        <v>476.25404761904764</v>
      </c>
      <c r="Q87" t="s">
        <v>567</v>
      </c>
    </row>
    <row r="88" spans="3:17" x14ac:dyDescent="0.2">
      <c r="C88" s="1" t="s">
        <v>192</v>
      </c>
      <c r="D88" t="s">
        <v>324</v>
      </c>
      <c r="E88" t="s">
        <v>326</v>
      </c>
      <c r="F88" s="1" t="s">
        <v>410</v>
      </c>
      <c r="H88" s="12" t="s">
        <v>77</v>
      </c>
      <c r="I88" s="11" t="s">
        <v>1316</v>
      </c>
      <c r="J88" s="12" t="s">
        <v>84</v>
      </c>
      <c r="K88" s="13">
        <v>19</v>
      </c>
      <c r="L88" s="12">
        <v>403</v>
      </c>
      <c r="M88" s="12">
        <v>720</v>
      </c>
      <c r="N88" s="12">
        <v>19.5</v>
      </c>
      <c r="O88" s="19">
        <v>487.87</v>
      </c>
      <c r="Q88" t="s">
        <v>568</v>
      </c>
    </row>
    <row r="89" spans="3:17" x14ac:dyDescent="0.2">
      <c r="C89" s="1" t="s">
        <v>193</v>
      </c>
      <c r="D89" t="s">
        <v>324</v>
      </c>
      <c r="E89" t="s">
        <v>326</v>
      </c>
      <c r="F89" s="1" t="s">
        <v>411</v>
      </c>
      <c r="H89" s="12" t="s">
        <v>78</v>
      </c>
      <c r="I89" s="11" t="s">
        <v>1317</v>
      </c>
      <c r="J89" s="12" t="s">
        <v>84</v>
      </c>
      <c r="K89" s="13">
        <v>20.9</v>
      </c>
      <c r="L89" s="12">
        <v>480</v>
      </c>
      <c r="M89" s="12">
        <v>925</v>
      </c>
      <c r="N89" s="12">
        <v>19.5</v>
      </c>
      <c r="O89" s="19">
        <v>668.43</v>
      </c>
      <c r="Q89" t="s">
        <v>569</v>
      </c>
    </row>
    <row r="90" spans="3:17" x14ac:dyDescent="0.2">
      <c r="C90" s="1" t="s">
        <v>194</v>
      </c>
      <c r="D90" t="s">
        <v>324</v>
      </c>
      <c r="E90" t="s">
        <v>326</v>
      </c>
      <c r="F90" s="1" t="s">
        <v>412</v>
      </c>
      <c r="H90" s="12" t="s">
        <v>79</v>
      </c>
      <c r="I90" s="11" t="s">
        <v>1318</v>
      </c>
      <c r="J90" s="12" t="s">
        <v>84</v>
      </c>
      <c r="K90" s="13">
        <v>21.6</v>
      </c>
      <c r="L90" s="12">
        <v>538</v>
      </c>
      <c r="M90" s="12">
        <v>1020</v>
      </c>
      <c r="N90" s="12">
        <v>19.5</v>
      </c>
      <c r="O90" s="19" t="s">
        <v>904</v>
      </c>
      <c r="Q90" t="s">
        <v>570</v>
      </c>
    </row>
    <row r="91" spans="3:17" x14ac:dyDescent="0.2">
      <c r="C91" s="1" t="s">
        <v>195</v>
      </c>
      <c r="D91" t="s">
        <v>324</v>
      </c>
      <c r="E91" t="s">
        <v>326</v>
      </c>
      <c r="F91" s="1" t="s">
        <v>413</v>
      </c>
      <c r="H91" s="12" t="s">
        <v>80</v>
      </c>
      <c r="I91" s="11" t="s">
        <v>1319</v>
      </c>
      <c r="J91" s="12" t="s">
        <v>84</v>
      </c>
      <c r="K91" s="13">
        <v>22.5</v>
      </c>
      <c r="L91" s="12">
        <v>586</v>
      </c>
      <c r="M91" s="12">
        <v>1100</v>
      </c>
      <c r="N91" s="12">
        <v>19.5</v>
      </c>
      <c r="O91" s="19" t="s">
        <v>904</v>
      </c>
      <c r="Q91" t="s">
        <v>571</v>
      </c>
    </row>
    <row r="92" spans="3:17" x14ac:dyDescent="0.2">
      <c r="C92" s="1" t="s">
        <v>196</v>
      </c>
      <c r="D92" t="s">
        <v>324</v>
      </c>
      <c r="E92" t="s">
        <v>326</v>
      </c>
      <c r="F92" s="1" t="s">
        <v>414</v>
      </c>
      <c r="H92" s="12" t="s">
        <v>81</v>
      </c>
      <c r="I92" s="11" t="s">
        <v>1320</v>
      </c>
      <c r="J92" s="12" t="s">
        <v>84</v>
      </c>
      <c r="K92" s="13">
        <v>23.4</v>
      </c>
      <c r="L92" s="12">
        <v>624</v>
      </c>
      <c r="M92" s="12">
        <v>1170</v>
      </c>
      <c r="N92" s="12">
        <v>19.5</v>
      </c>
      <c r="O92" s="19" t="s">
        <v>904</v>
      </c>
      <c r="Q92" t="s">
        <v>572</v>
      </c>
    </row>
    <row r="93" spans="3:17" x14ac:dyDescent="0.2">
      <c r="C93" s="1" t="s">
        <v>197</v>
      </c>
      <c r="D93" t="s">
        <v>324</v>
      </c>
      <c r="E93" t="s">
        <v>326</v>
      </c>
      <c r="F93" s="1" t="s">
        <v>415</v>
      </c>
      <c r="H93" s="12" t="s">
        <v>82</v>
      </c>
      <c r="I93" s="11" t="s">
        <v>1321</v>
      </c>
      <c r="J93" s="12" t="s">
        <v>84</v>
      </c>
      <c r="K93" s="13">
        <v>25.7</v>
      </c>
      <c r="L93" s="12">
        <v>786</v>
      </c>
      <c r="M93" s="12">
        <v>1300</v>
      </c>
      <c r="N93" s="12">
        <v>19.5</v>
      </c>
      <c r="O93" s="19">
        <v>1013.12</v>
      </c>
      <c r="Q93" t="s">
        <v>573</v>
      </c>
    </row>
    <row r="94" spans="3:17" x14ac:dyDescent="0.2">
      <c r="C94" s="1" t="s">
        <v>198</v>
      </c>
      <c r="D94" t="s">
        <v>324</v>
      </c>
      <c r="E94" t="s">
        <v>326</v>
      </c>
      <c r="F94" s="1" t="s">
        <v>416</v>
      </c>
      <c r="H94" s="12" t="s">
        <v>83</v>
      </c>
      <c r="I94" s="11" t="s">
        <v>1322</v>
      </c>
      <c r="J94" s="12" t="s">
        <v>84</v>
      </c>
      <c r="K94" s="13">
        <v>28.6</v>
      </c>
      <c r="L94" s="12">
        <v>960</v>
      </c>
      <c r="M94" s="12">
        <v>1630</v>
      </c>
      <c r="N94" s="12">
        <v>19.5</v>
      </c>
      <c r="O94" s="19" t="s">
        <v>904</v>
      </c>
      <c r="Q94" t="s">
        <v>574</v>
      </c>
    </row>
    <row r="95" spans="3:17" ht="3.6" customHeight="1" x14ac:dyDescent="0.2">
      <c r="H95" s="15"/>
      <c r="I95" s="16"/>
      <c r="J95" s="15"/>
      <c r="K95" s="17"/>
      <c r="L95" s="15"/>
      <c r="M95" s="15"/>
      <c r="N95" s="15"/>
      <c r="O95" s="20"/>
    </row>
    <row r="96" spans="3:17" x14ac:dyDescent="0.2">
      <c r="C96" s="1" t="s">
        <v>114</v>
      </c>
      <c r="D96" t="s">
        <v>323</v>
      </c>
      <c r="E96" t="s">
        <v>325</v>
      </c>
      <c r="F96" s="1" t="s">
        <v>330</v>
      </c>
      <c r="H96" s="12" t="s">
        <v>205</v>
      </c>
      <c r="I96" s="11" t="s">
        <v>1323</v>
      </c>
      <c r="J96" s="12" t="s">
        <v>220</v>
      </c>
      <c r="K96" s="13">
        <v>6.6</v>
      </c>
      <c r="L96" s="12">
        <v>28.8</v>
      </c>
      <c r="M96" s="12">
        <v>100</v>
      </c>
      <c r="N96" s="12">
        <v>13.3</v>
      </c>
      <c r="O96" s="19">
        <v>31.55</v>
      </c>
      <c r="Q96" t="s">
        <v>575</v>
      </c>
    </row>
    <row r="97" spans="3:17" x14ac:dyDescent="0.2">
      <c r="C97" s="1" t="s">
        <v>115</v>
      </c>
      <c r="D97" t="s">
        <v>324</v>
      </c>
      <c r="E97" t="s">
        <v>326</v>
      </c>
      <c r="F97" s="1" t="s">
        <v>417</v>
      </c>
      <c r="H97" s="12" t="s">
        <v>206</v>
      </c>
      <c r="I97" s="11" t="s">
        <v>1324</v>
      </c>
      <c r="J97" s="12" t="s">
        <v>220</v>
      </c>
      <c r="K97" s="13">
        <v>6.8</v>
      </c>
      <c r="L97" s="12">
        <v>43.2</v>
      </c>
      <c r="M97" s="12">
        <v>110</v>
      </c>
      <c r="N97" s="12">
        <v>13.3</v>
      </c>
      <c r="O97" s="19">
        <v>45.25</v>
      </c>
      <c r="Q97" t="s">
        <v>576</v>
      </c>
    </row>
    <row r="98" spans="3:17" x14ac:dyDescent="0.2">
      <c r="C98" s="1" t="s">
        <v>116</v>
      </c>
      <c r="D98" t="s">
        <v>324</v>
      </c>
      <c r="E98" t="s">
        <v>326</v>
      </c>
      <c r="F98" s="1" t="s">
        <v>418</v>
      </c>
      <c r="H98" s="12" t="s">
        <v>207</v>
      </c>
      <c r="I98" s="11" t="s">
        <v>1325</v>
      </c>
      <c r="J98" s="12" t="s">
        <v>220</v>
      </c>
      <c r="K98" s="13">
        <v>7.4</v>
      </c>
      <c r="L98" s="12">
        <v>57.6</v>
      </c>
      <c r="M98" s="12">
        <v>125</v>
      </c>
      <c r="N98" s="12">
        <v>13.3</v>
      </c>
      <c r="O98" s="19">
        <v>58.05</v>
      </c>
      <c r="Q98" t="s">
        <v>577</v>
      </c>
    </row>
    <row r="99" spans="3:17" x14ac:dyDescent="0.2">
      <c r="C99" s="1" t="s">
        <v>117</v>
      </c>
      <c r="D99" t="s">
        <v>324</v>
      </c>
      <c r="E99" t="s">
        <v>326</v>
      </c>
      <c r="F99" s="1" t="s">
        <v>419</v>
      </c>
      <c r="H99" s="12" t="s">
        <v>208</v>
      </c>
      <c r="I99" s="11" t="s">
        <v>1326</v>
      </c>
      <c r="J99" s="12" t="s">
        <v>220</v>
      </c>
      <c r="K99" s="13">
        <v>8.3000000000000007</v>
      </c>
      <c r="L99" s="13">
        <v>72</v>
      </c>
      <c r="M99" s="12">
        <v>145</v>
      </c>
      <c r="N99" s="12">
        <v>13.3</v>
      </c>
      <c r="O99" s="19">
        <v>73.290000000000006</v>
      </c>
      <c r="Q99" t="s">
        <v>578</v>
      </c>
    </row>
    <row r="100" spans="3:17" x14ac:dyDescent="0.2">
      <c r="C100" s="1" t="s">
        <v>118</v>
      </c>
      <c r="D100" t="s">
        <v>324</v>
      </c>
      <c r="E100" t="s">
        <v>326</v>
      </c>
      <c r="F100" s="1" t="s">
        <v>420</v>
      </c>
      <c r="H100" s="12" t="s">
        <v>209</v>
      </c>
      <c r="I100" s="11" t="s">
        <v>1327</v>
      </c>
      <c r="J100" s="12" t="s">
        <v>220</v>
      </c>
      <c r="K100" s="13">
        <v>9</v>
      </c>
      <c r="L100" s="12">
        <v>86.4</v>
      </c>
      <c r="M100" s="12">
        <v>170</v>
      </c>
      <c r="N100" s="12">
        <v>13.3</v>
      </c>
      <c r="O100" s="19">
        <v>92</v>
      </c>
      <c r="Q100" t="s">
        <v>579</v>
      </c>
    </row>
    <row r="101" spans="3:17" x14ac:dyDescent="0.2">
      <c r="C101" s="1" t="s">
        <v>119</v>
      </c>
      <c r="D101" t="s">
        <v>324</v>
      </c>
      <c r="E101" t="s">
        <v>326</v>
      </c>
      <c r="F101" s="1" t="s">
        <v>421</v>
      </c>
      <c r="H101" s="12" t="s">
        <v>210</v>
      </c>
      <c r="I101" s="11" t="s">
        <v>1328</v>
      </c>
      <c r="J101" s="12" t="s">
        <v>220</v>
      </c>
      <c r="K101" s="13">
        <v>9.1</v>
      </c>
      <c r="L101" s="12">
        <v>101</v>
      </c>
      <c r="M101" s="12">
        <v>195</v>
      </c>
      <c r="N101" s="12">
        <v>13.3</v>
      </c>
      <c r="O101" s="19">
        <v>104.86</v>
      </c>
      <c r="Q101" t="s">
        <v>580</v>
      </c>
    </row>
    <row r="102" spans="3:17" x14ac:dyDescent="0.2">
      <c r="C102" s="1" t="s">
        <v>120</v>
      </c>
      <c r="D102" t="s">
        <v>324</v>
      </c>
      <c r="E102" t="s">
        <v>326</v>
      </c>
      <c r="F102" s="1" t="s">
        <v>422</v>
      </c>
      <c r="H102" s="12" t="s">
        <v>211</v>
      </c>
      <c r="I102" s="11" t="s">
        <v>1329</v>
      </c>
      <c r="J102" s="12" t="s">
        <v>220</v>
      </c>
      <c r="K102" s="13">
        <v>10.9</v>
      </c>
      <c r="L102" s="12">
        <v>115</v>
      </c>
      <c r="M102" s="12">
        <v>215</v>
      </c>
      <c r="N102" s="12">
        <v>13.3</v>
      </c>
      <c r="O102" s="19">
        <v>120.74</v>
      </c>
      <c r="Q102" t="s">
        <v>581</v>
      </c>
    </row>
    <row r="103" spans="3:17" x14ac:dyDescent="0.2">
      <c r="C103" s="1" t="s">
        <v>121</v>
      </c>
      <c r="D103" t="s">
        <v>324</v>
      </c>
      <c r="E103" t="s">
        <v>326</v>
      </c>
      <c r="F103" s="1" t="s">
        <v>423</v>
      </c>
      <c r="H103" s="12" t="s">
        <v>212</v>
      </c>
      <c r="I103" s="11" t="s">
        <v>1330</v>
      </c>
      <c r="J103" s="12" t="s">
        <v>220</v>
      </c>
      <c r="K103" s="13">
        <v>11.7</v>
      </c>
      <c r="L103" s="12">
        <v>129</v>
      </c>
      <c r="M103" s="12">
        <v>230</v>
      </c>
      <c r="N103" s="12">
        <v>13.3</v>
      </c>
      <c r="O103" s="19">
        <v>137.97</v>
      </c>
      <c r="Q103" t="s">
        <v>582</v>
      </c>
    </row>
    <row r="104" spans="3:17" x14ac:dyDescent="0.2">
      <c r="C104" s="1" t="s">
        <v>122</v>
      </c>
      <c r="D104" t="s">
        <v>324</v>
      </c>
      <c r="E104" t="s">
        <v>326</v>
      </c>
      <c r="F104" s="1" t="s">
        <v>424</v>
      </c>
      <c r="H104" s="12" t="s">
        <v>213</v>
      </c>
      <c r="I104" s="11" t="s">
        <v>1331</v>
      </c>
      <c r="J104" s="12" t="s">
        <v>220</v>
      </c>
      <c r="K104" s="13">
        <v>11.8</v>
      </c>
      <c r="L104" s="12">
        <v>144</v>
      </c>
      <c r="M104" s="12">
        <v>260</v>
      </c>
      <c r="N104" s="12">
        <v>13.3</v>
      </c>
      <c r="O104" s="19">
        <v>155.62</v>
      </c>
      <c r="Q104" t="s">
        <v>583</v>
      </c>
    </row>
    <row r="105" spans="3:17" x14ac:dyDescent="0.2">
      <c r="C105" s="1" t="s">
        <v>123</v>
      </c>
      <c r="D105" t="s">
        <v>324</v>
      </c>
      <c r="E105" t="s">
        <v>326</v>
      </c>
      <c r="F105" s="1" t="s">
        <v>425</v>
      </c>
      <c r="H105" s="12" t="s">
        <v>214</v>
      </c>
      <c r="I105" s="11" t="s">
        <v>1332</v>
      </c>
      <c r="J105" s="12" t="s">
        <v>220</v>
      </c>
      <c r="K105" s="13">
        <v>12.4</v>
      </c>
      <c r="L105" s="12">
        <v>173</v>
      </c>
      <c r="M105" s="12">
        <v>310</v>
      </c>
      <c r="N105" s="12">
        <v>13.3</v>
      </c>
      <c r="O105" s="19">
        <v>179.67</v>
      </c>
      <c r="Q105" t="s">
        <v>584</v>
      </c>
    </row>
    <row r="106" spans="3:17" x14ac:dyDescent="0.2">
      <c r="C106" s="1" t="s">
        <v>199</v>
      </c>
      <c r="D106" t="s">
        <v>324</v>
      </c>
      <c r="E106" t="s">
        <v>326</v>
      </c>
      <c r="F106" s="1" t="s">
        <v>426</v>
      </c>
      <c r="H106" s="12" t="s">
        <v>215</v>
      </c>
      <c r="I106" s="11" t="s">
        <v>1333</v>
      </c>
      <c r="J106" s="12" t="s">
        <v>220</v>
      </c>
      <c r="K106" s="13">
        <v>12.9</v>
      </c>
      <c r="L106" s="12">
        <v>202</v>
      </c>
      <c r="M106" s="12">
        <v>360</v>
      </c>
      <c r="N106" s="12">
        <v>13.3</v>
      </c>
      <c r="O106" s="19">
        <v>212.53</v>
      </c>
      <c r="Q106" t="s">
        <v>585</v>
      </c>
    </row>
    <row r="107" spans="3:17" x14ac:dyDescent="0.2">
      <c r="C107" s="1" t="s">
        <v>200</v>
      </c>
      <c r="D107" t="s">
        <v>324</v>
      </c>
      <c r="E107" t="s">
        <v>326</v>
      </c>
      <c r="F107" s="1" t="s">
        <v>427</v>
      </c>
      <c r="H107" s="12" t="s">
        <v>216</v>
      </c>
      <c r="I107" s="11" t="s">
        <v>1334</v>
      </c>
      <c r="J107" s="12" t="s">
        <v>220</v>
      </c>
      <c r="K107" s="13">
        <v>13.8</v>
      </c>
      <c r="L107" s="12">
        <v>230</v>
      </c>
      <c r="M107" s="12">
        <v>390</v>
      </c>
      <c r="N107" s="12">
        <v>13.3</v>
      </c>
      <c r="O107" s="19">
        <v>251.92</v>
      </c>
      <c r="Q107" t="s">
        <v>586</v>
      </c>
    </row>
    <row r="108" spans="3:17" x14ac:dyDescent="0.2">
      <c r="C108" s="1" t="s">
        <v>201</v>
      </c>
      <c r="D108" t="s">
        <v>324</v>
      </c>
      <c r="E108" t="s">
        <v>326</v>
      </c>
      <c r="F108" s="1" t="s">
        <v>428</v>
      </c>
      <c r="H108" s="12" t="s">
        <v>217</v>
      </c>
      <c r="I108" s="11" t="s">
        <v>1335</v>
      </c>
      <c r="J108" s="12" t="s">
        <v>220</v>
      </c>
      <c r="K108" s="13">
        <v>14.8</v>
      </c>
      <c r="L108" s="12">
        <v>259</v>
      </c>
      <c r="M108" s="12">
        <v>420</v>
      </c>
      <c r="N108" s="12">
        <v>13.3</v>
      </c>
      <c r="O108" s="19">
        <v>283.94</v>
      </c>
      <c r="Q108" t="s">
        <v>587</v>
      </c>
    </row>
    <row r="109" spans="3:17" x14ac:dyDescent="0.2">
      <c r="C109" s="1" t="s">
        <v>202</v>
      </c>
      <c r="D109" t="s">
        <v>324</v>
      </c>
      <c r="E109" t="s">
        <v>326</v>
      </c>
      <c r="F109" s="1" t="s">
        <v>429</v>
      </c>
      <c r="H109" s="12" t="s">
        <v>218</v>
      </c>
      <c r="I109" s="11" t="s">
        <v>1336</v>
      </c>
      <c r="J109" s="12" t="s">
        <v>220</v>
      </c>
      <c r="K109" s="13">
        <v>14.9</v>
      </c>
      <c r="L109" s="12">
        <v>279</v>
      </c>
      <c r="M109" s="12">
        <v>440</v>
      </c>
      <c r="N109" s="12">
        <v>13.3</v>
      </c>
      <c r="O109" s="19">
        <f>O108*19/18</f>
        <v>299.71444444444444</v>
      </c>
      <c r="Q109" t="s">
        <v>588</v>
      </c>
    </row>
    <row r="110" spans="3:17" x14ac:dyDescent="0.2">
      <c r="C110" s="1" t="s">
        <v>203</v>
      </c>
      <c r="D110" t="s">
        <v>324</v>
      </c>
      <c r="E110" t="s">
        <v>326</v>
      </c>
      <c r="F110" s="1" t="s">
        <v>430</v>
      </c>
      <c r="H110" s="12" t="s">
        <v>219</v>
      </c>
      <c r="I110" s="11" t="s">
        <v>1337</v>
      </c>
      <c r="J110" s="12" t="s">
        <v>220</v>
      </c>
      <c r="K110" s="13">
        <v>16</v>
      </c>
      <c r="L110" s="12">
        <v>302</v>
      </c>
      <c r="M110" s="12">
        <v>535</v>
      </c>
      <c r="N110" s="12">
        <v>13.3</v>
      </c>
      <c r="O110" s="19">
        <v>321.95999999999998</v>
      </c>
      <c r="Q110" t="s">
        <v>589</v>
      </c>
    </row>
    <row r="111" spans="3:17" x14ac:dyDescent="0.2">
      <c r="C111" s="1" t="s">
        <v>221</v>
      </c>
      <c r="D111" t="s">
        <v>324</v>
      </c>
      <c r="E111" t="s">
        <v>326</v>
      </c>
      <c r="F111" s="1" t="s">
        <v>431</v>
      </c>
      <c r="H111" s="12" t="s">
        <v>265</v>
      </c>
      <c r="I111" s="11" t="s">
        <v>1338</v>
      </c>
      <c r="J111" s="12" t="s">
        <v>220</v>
      </c>
      <c r="K111" s="13">
        <v>17.2</v>
      </c>
      <c r="L111" s="12">
        <v>360</v>
      </c>
      <c r="M111" s="12">
        <v>600</v>
      </c>
      <c r="N111" s="12">
        <v>13.3</v>
      </c>
      <c r="O111" s="19">
        <v>399.4</v>
      </c>
      <c r="Q111" t="s">
        <v>590</v>
      </c>
    </row>
    <row r="112" spans="3:17" x14ac:dyDescent="0.2">
      <c r="C112" s="1" t="s">
        <v>222</v>
      </c>
      <c r="D112" t="s">
        <v>324</v>
      </c>
      <c r="E112" t="s">
        <v>326</v>
      </c>
      <c r="F112" s="1" t="s">
        <v>432</v>
      </c>
      <c r="H112" s="12" t="s">
        <v>266</v>
      </c>
      <c r="I112" s="11" t="s">
        <v>1339</v>
      </c>
      <c r="J112" s="12" t="s">
        <v>220</v>
      </c>
      <c r="K112" s="13">
        <v>18.8</v>
      </c>
      <c r="L112" s="12">
        <v>432</v>
      </c>
      <c r="M112" s="12">
        <v>660</v>
      </c>
      <c r="N112" s="12">
        <v>13.3</v>
      </c>
      <c r="O112" s="19">
        <v>438</v>
      </c>
      <c r="Q112" t="s">
        <v>591</v>
      </c>
    </row>
    <row r="113" spans="3:17" x14ac:dyDescent="0.2">
      <c r="C113" s="1" t="s">
        <v>223</v>
      </c>
      <c r="D113" t="s">
        <v>324</v>
      </c>
      <c r="E113" t="s">
        <v>326</v>
      </c>
      <c r="F113" s="1" t="s">
        <v>433</v>
      </c>
      <c r="H113" s="12" t="s">
        <v>267</v>
      </c>
      <c r="I113" s="11" t="s">
        <v>1340</v>
      </c>
      <c r="J113" s="12" t="s">
        <v>220</v>
      </c>
      <c r="K113" s="13">
        <v>19.8</v>
      </c>
      <c r="L113" s="12">
        <v>490</v>
      </c>
      <c r="M113" s="12">
        <v>730</v>
      </c>
      <c r="N113" s="12">
        <v>13.3</v>
      </c>
      <c r="O113" s="19">
        <v>562.38</v>
      </c>
      <c r="Q113" t="s">
        <v>592</v>
      </c>
    </row>
    <row r="114" spans="3:17" x14ac:dyDescent="0.2">
      <c r="C114" s="1" t="s">
        <v>224</v>
      </c>
      <c r="D114" t="s">
        <v>324</v>
      </c>
      <c r="E114" t="s">
        <v>326</v>
      </c>
      <c r="F114" s="1" t="s">
        <v>434</v>
      </c>
      <c r="H114" s="12" t="s">
        <v>268</v>
      </c>
      <c r="I114" s="11" t="s">
        <v>1341</v>
      </c>
      <c r="J114" s="12" t="s">
        <v>220</v>
      </c>
      <c r="K114" s="13">
        <v>21.6</v>
      </c>
      <c r="L114" s="12">
        <v>576</v>
      </c>
      <c r="M114" s="12">
        <v>895</v>
      </c>
      <c r="N114" s="12">
        <v>13.3</v>
      </c>
      <c r="O114" s="19">
        <f>O115/42*40</f>
        <v>626.27619047619055</v>
      </c>
      <c r="Q114" t="s">
        <v>593</v>
      </c>
    </row>
    <row r="115" spans="3:17" x14ac:dyDescent="0.2">
      <c r="C115" s="1" t="s">
        <v>225</v>
      </c>
      <c r="D115" t="s">
        <v>324</v>
      </c>
      <c r="E115" t="s">
        <v>326</v>
      </c>
      <c r="F115" s="1" t="s">
        <v>435</v>
      </c>
      <c r="H115" s="12" t="s">
        <v>269</v>
      </c>
      <c r="I115" s="11" t="s">
        <v>1342</v>
      </c>
      <c r="J115" s="12" t="s">
        <v>220</v>
      </c>
      <c r="K115" s="13">
        <v>21.6</v>
      </c>
      <c r="L115" s="12">
        <v>605</v>
      </c>
      <c r="M115" s="12">
        <v>900</v>
      </c>
      <c r="N115" s="12">
        <v>13.3</v>
      </c>
      <c r="O115" s="19">
        <v>657.59</v>
      </c>
      <c r="Q115" t="s">
        <v>594</v>
      </c>
    </row>
    <row r="116" spans="3:17" x14ac:dyDescent="0.2">
      <c r="C116" s="1" t="s">
        <v>226</v>
      </c>
      <c r="D116" t="s">
        <v>324</v>
      </c>
      <c r="E116" t="s">
        <v>326</v>
      </c>
      <c r="F116" s="1" t="s">
        <v>436</v>
      </c>
      <c r="H116" s="12" t="s">
        <v>270</v>
      </c>
      <c r="I116" s="11" t="s">
        <v>1343</v>
      </c>
      <c r="J116" s="12" t="s">
        <v>220</v>
      </c>
      <c r="K116" s="13">
        <v>23.8</v>
      </c>
      <c r="L116" s="12">
        <v>720</v>
      </c>
      <c r="M116" s="12">
        <v>1060</v>
      </c>
      <c r="N116" s="12">
        <v>13.3</v>
      </c>
      <c r="O116" s="19">
        <v>951.27</v>
      </c>
      <c r="Q116" t="s">
        <v>595</v>
      </c>
    </row>
    <row r="117" spans="3:17" x14ac:dyDescent="0.2">
      <c r="C117" s="1" t="s">
        <v>227</v>
      </c>
      <c r="D117" t="s">
        <v>324</v>
      </c>
      <c r="E117" t="s">
        <v>326</v>
      </c>
      <c r="F117" s="1" t="s">
        <v>437</v>
      </c>
      <c r="H117" s="12" t="s">
        <v>271</v>
      </c>
      <c r="I117" s="11" t="s">
        <v>1344</v>
      </c>
      <c r="J117" s="12" t="s">
        <v>220</v>
      </c>
      <c r="K117" s="13">
        <v>25.2</v>
      </c>
      <c r="L117" s="12">
        <v>806</v>
      </c>
      <c r="M117" s="12">
        <v>1200</v>
      </c>
      <c r="N117" s="12">
        <v>13.3</v>
      </c>
      <c r="O117" s="19">
        <v>1067</v>
      </c>
      <c r="Q117" t="s">
        <v>596</v>
      </c>
    </row>
    <row r="118" spans="3:17" x14ac:dyDescent="0.2">
      <c r="C118" s="1" t="s">
        <v>228</v>
      </c>
      <c r="D118" t="s">
        <v>324</v>
      </c>
      <c r="E118" t="s">
        <v>326</v>
      </c>
      <c r="F118" s="1" t="s">
        <v>438</v>
      </c>
      <c r="H118" s="12" t="s">
        <v>272</v>
      </c>
      <c r="I118" s="11" t="s">
        <v>1345</v>
      </c>
      <c r="J118" s="12" t="s">
        <v>220</v>
      </c>
      <c r="K118" s="13">
        <v>25.6</v>
      </c>
      <c r="L118" s="12">
        <v>878</v>
      </c>
      <c r="M118" s="12">
        <v>1320</v>
      </c>
      <c r="N118" s="12">
        <v>13.3</v>
      </c>
      <c r="O118" s="19">
        <v>1181.8399999999999</v>
      </c>
      <c r="Q118" t="s">
        <v>597</v>
      </c>
    </row>
    <row r="119" spans="3:17" x14ac:dyDescent="0.2">
      <c r="C119" s="1" t="s">
        <v>229</v>
      </c>
      <c r="D119" t="s">
        <v>324</v>
      </c>
      <c r="E119" t="s">
        <v>326</v>
      </c>
      <c r="F119" s="1" t="s">
        <v>439</v>
      </c>
      <c r="H119" s="12" t="s">
        <v>273</v>
      </c>
      <c r="I119" s="11" t="s">
        <v>1346</v>
      </c>
      <c r="J119" s="12" t="s">
        <v>220</v>
      </c>
      <c r="K119" s="13">
        <v>26.9</v>
      </c>
      <c r="L119" s="12">
        <v>936</v>
      </c>
      <c r="M119" s="12">
        <v>1440</v>
      </c>
      <c r="N119" s="12">
        <v>13.3</v>
      </c>
      <c r="O119" s="19" t="s">
        <v>904</v>
      </c>
      <c r="Q119" t="s">
        <v>598</v>
      </c>
    </row>
    <row r="120" spans="3:17" x14ac:dyDescent="0.2">
      <c r="C120" s="1" t="s">
        <v>230</v>
      </c>
      <c r="D120" t="s">
        <v>324</v>
      </c>
      <c r="E120" t="s">
        <v>326</v>
      </c>
      <c r="F120" s="1" t="s">
        <v>440</v>
      </c>
      <c r="H120" s="12" t="s">
        <v>274</v>
      </c>
      <c r="I120" s="11" t="s">
        <v>1347</v>
      </c>
      <c r="J120" s="12" t="s">
        <v>220</v>
      </c>
      <c r="K120" s="13">
        <v>29.4</v>
      </c>
      <c r="L120" s="12">
        <v>1152</v>
      </c>
      <c r="M120" s="12">
        <v>1750</v>
      </c>
      <c r="N120" s="12">
        <v>13.3</v>
      </c>
      <c r="O120" s="19" t="s">
        <v>904</v>
      </c>
      <c r="Q120" t="s">
        <v>599</v>
      </c>
    </row>
    <row r="121" spans="3:17" x14ac:dyDescent="0.2">
      <c r="C121" s="1" t="s">
        <v>231</v>
      </c>
      <c r="D121" t="s">
        <v>324</v>
      </c>
      <c r="E121" t="s">
        <v>326</v>
      </c>
      <c r="F121" s="1" t="s">
        <v>441</v>
      </c>
      <c r="H121" s="12" t="s">
        <v>275</v>
      </c>
      <c r="I121" s="11" t="s">
        <v>1348</v>
      </c>
      <c r="J121" s="12" t="s">
        <v>220</v>
      </c>
      <c r="K121" s="13">
        <v>32.799999999999997</v>
      </c>
      <c r="L121" s="12">
        <v>1440</v>
      </c>
      <c r="M121" s="12">
        <v>2355</v>
      </c>
      <c r="N121" s="12">
        <v>13.3</v>
      </c>
      <c r="O121" s="19" t="s">
        <v>904</v>
      </c>
      <c r="Q121" t="s">
        <v>600</v>
      </c>
    </row>
    <row r="122" spans="3:17" ht="3.6" customHeight="1" x14ac:dyDescent="0.2">
      <c r="H122" s="15"/>
      <c r="I122" s="16"/>
      <c r="J122" s="15"/>
      <c r="K122" s="17"/>
      <c r="L122" s="15"/>
      <c r="M122" s="15"/>
      <c r="N122" s="15"/>
      <c r="O122" s="20"/>
    </row>
    <row r="123" spans="3:17" x14ac:dyDescent="0.2">
      <c r="C123" s="1" t="s">
        <v>124</v>
      </c>
      <c r="D123" t="s">
        <v>323</v>
      </c>
      <c r="E123" t="s">
        <v>325</v>
      </c>
      <c r="F123" s="1" t="s">
        <v>331</v>
      </c>
      <c r="H123" s="12" t="s">
        <v>276</v>
      </c>
      <c r="I123" s="11" t="s">
        <v>1349</v>
      </c>
      <c r="J123" s="12" t="s">
        <v>316</v>
      </c>
      <c r="K123" s="13">
        <v>7.7</v>
      </c>
      <c r="L123" s="13">
        <v>48</v>
      </c>
      <c r="M123" s="12">
        <v>120</v>
      </c>
      <c r="N123" s="12">
        <v>7.98</v>
      </c>
      <c r="O123" s="19">
        <v>51.69</v>
      </c>
      <c r="Q123" t="s">
        <v>601</v>
      </c>
    </row>
    <row r="124" spans="3:17" x14ac:dyDescent="0.2">
      <c r="C124" s="1" t="s">
        <v>125</v>
      </c>
      <c r="D124" t="s">
        <v>324</v>
      </c>
      <c r="E124" t="s">
        <v>326</v>
      </c>
      <c r="F124" s="1" t="s">
        <v>442</v>
      </c>
      <c r="H124" s="12" t="s">
        <v>277</v>
      </c>
      <c r="I124" s="11" t="s">
        <v>1350</v>
      </c>
      <c r="J124" s="12" t="s">
        <v>316</v>
      </c>
      <c r="K124" s="13">
        <v>8.3000000000000007</v>
      </c>
      <c r="L124" s="13">
        <v>72</v>
      </c>
      <c r="M124" s="12">
        <v>170</v>
      </c>
      <c r="N124" s="12">
        <v>7.98</v>
      </c>
      <c r="O124" s="19">
        <v>74.2</v>
      </c>
      <c r="Q124" t="s">
        <v>602</v>
      </c>
    </row>
    <row r="125" spans="3:17" x14ac:dyDescent="0.2">
      <c r="C125" s="1" t="s">
        <v>126</v>
      </c>
      <c r="D125" t="s">
        <v>324</v>
      </c>
      <c r="E125" t="s">
        <v>326</v>
      </c>
      <c r="F125" s="1" t="s">
        <v>443</v>
      </c>
      <c r="H125" s="12" t="s">
        <v>278</v>
      </c>
      <c r="I125" s="11" t="s">
        <v>1351</v>
      </c>
      <c r="J125" s="12" t="s">
        <v>316</v>
      </c>
      <c r="K125" s="13">
        <v>9.1</v>
      </c>
      <c r="L125" s="13">
        <v>96</v>
      </c>
      <c r="M125" s="12">
        <v>180</v>
      </c>
      <c r="N125" s="12">
        <v>7.98</v>
      </c>
      <c r="O125" s="19">
        <v>97.12</v>
      </c>
      <c r="Q125" t="s">
        <v>603</v>
      </c>
    </row>
    <row r="126" spans="3:17" x14ac:dyDescent="0.2">
      <c r="C126" s="1" t="s">
        <v>127</v>
      </c>
      <c r="D126" t="s">
        <v>324</v>
      </c>
      <c r="E126" t="s">
        <v>326</v>
      </c>
      <c r="F126" s="1" t="s">
        <v>444</v>
      </c>
      <c r="H126" s="12" t="s">
        <v>279</v>
      </c>
      <c r="I126" s="11" t="s">
        <v>1352</v>
      </c>
      <c r="J126" s="12" t="s">
        <v>316</v>
      </c>
      <c r="K126" s="13">
        <v>10.199999999999999</v>
      </c>
      <c r="L126" s="12">
        <v>120</v>
      </c>
      <c r="M126" s="12">
        <v>190</v>
      </c>
      <c r="N126" s="12">
        <v>7.98</v>
      </c>
      <c r="O126" s="19">
        <v>123</v>
      </c>
      <c r="Q126" t="s">
        <v>604</v>
      </c>
    </row>
    <row r="127" spans="3:17" x14ac:dyDescent="0.2">
      <c r="C127" s="1" t="s">
        <v>128</v>
      </c>
      <c r="D127" t="s">
        <v>324</v>
      </c>
      <c r="E127" t="s">
        <v>326</v>
      </c>
      <c r="F127" s="1" t="s">
        <v>445</v>
      </c>
      <c r="H127" s="12" t="s">
        <v>280</v>
      </c>
      <c r="I127" s="11" t="s">
        <v>1353</v>
      </c>
      <c r="J127" s="12" t="s">
        <v>316</v>
      </c>
      <c r="K127" s="13">
        <v>11.2</v>
      </c>
      <c r="L127" s="12">
        <v>168</v>
      </c>
      <c r="M127" s="12">
        <v>280</v>
      </c>
      <c r="N127" s="12">
        <v>7.98</v>
      </c>
      <c r="O127" s="19">
        <v>175.12</v>
      </c>
      <c r="Q127" t="s">
        <v>605</v>
      </c>
    </row>
    <row r="128" spans="3:17" x14ac:dyDescent="0.2">
      <c r="C128" s="1" t="s">
        <v>129</v>
      </c>
      <c r="D128" t="s">
        <v>324</v>
      </c>
      <c r="E128" t="s">
        <v>326</v>
      </c>
      <c r="F128" s="1" t="s">
        <v>446</v>
      </c>
      <c r="H128" s="12" t="s">
        <v>281</v>
      </c>
      <c r="I128" s="11" t="s">
        <v>1354</v>
      </c>
      <c r="J128" s="12" t="s">
        <v>316</v>
      </c>
      <c r="K128" s="13">
        <v>13.1</v>
      </c>
      <c r="L128" s="12">
        <v>192</v>
      </c>
      <c r="M128" s="12">
        <v>325</v>
      </c>
      <c r="N128" s="12">
        <v>7.98</v>
      </c>
      <c r="O128" s="19">
        <v>188.45</v>
      </c>
      <c r="Q128" t="s">
        <v>606</v>
      </c>
    </row>
    <row r="129" spans="3:17" x14ac:dyDescent="0.2">
      <c r="C129" s="1" t="s">
        <v>130</v>
      </c>
      <c r="D129" t="s">
        <v>324</v>
      </c>
      <c r="E129" t="s">
        <v>326</v>
      </c>
      <c r="F129" s="1" t="s">
        <v>447</v>
      </c>
      <c r="H129" s="12" t="s">
        <v>282</v>
      </c>
      <c r="I129" s="11" t="s">
        <v>1355</v>
      </c>
      <c r="J129" s="12" t="s">
        <v>316</v>
      </c>
      <c r="K129" s="13">
        <v>15.1</v>
      </c>
      <c r="L129" s="12">
        <v>288</v>
      </c>
      <c r="M129" s="12">
        <v>510</v>
      </c>
      <c r="N129" s="12">
        <v>7.98</v>
      </c>
      <c r="O129" s="19">
        <v>296.24</v>
      </c>
      <c r="Q129" t="s">
        <v>607</v>
      </c>
    </row>
    <row r="130" spans="3:17" x14ac:dyDescent="0.2">
      <c r="C130" s="1" t="s">
        <v>232</v>
      </c>
      <c r="D130" t="s">
        <v>324</v>
      </c>
      <c r="E130" t="s">
        <v>326</v>
      </c>
      <c r="F130" s="1" t="s">
        <v>448</v>
      </c>
      <c r="H130" s="12" t="s">
        <v>283</v>
      </c>
      <c r="I130" s="11" t="s">
        <v>1356</v>
      </c>
      <c r="J130" s="12" t="s">
        <v>316</v>
      </c>
      <c r="K130" s="13">
        <v>16.100000000000001</v>
      </c>
      <c r="L130" s="12">
        <v>336</v>
      </c>
      <c r="M130" s="12">
        <v>600</v>
      </c>
      <c r="N130" s="12">
        <v>7.98</v>
      </c>
      <c r="O130" s="19">
        <v>321.33</v>
      </c>
      <c r="Q130" t="s">
        <v>608</v>
      </c>
    </row>
    <row r="131" spans="3:17" x14ac:dyDescent="0.2">
      <c r="C131" s="1" t="s">
        <v>233</v>
      </c>
      <c r="D131" t="s">
        <v>324</v>
      </c>
      <c r="E131" t="s">
        <v>326</v>
      </c>
      <c r="F131" s="1" t="s">
        <v>449</v>
      </c>
      <c r="H131" s="12" t="s">
        <v>284</v>
      </c>
      <c r="I131" s="11" t="s">
        <v>1357</v>
      </c>
      <c r="J131" s="12" t="s">
        <v>316</v>
      </c>
      <c r="K131" s="13">
        <v>18.100000000000001</v>
      </c>
      <c r="L131" s="12">
        <v>432</v>
      </c>
      <c r="M131" s="12">
        <v>870</v>
      </c>
      <c r="N131" s="12">
        <v>7.98</v>
      </c>
      <c r="O131" s="19">
        <v>425.57</v>
      </c>
      <c r="Q131" t="s">
        <v>609</v>
      </c>
    </row>
    <row r="132" spans="3:17" x14ac:dyDescent="0.2">
      <c r="C132" s="1" t="s">
        <v>234</v>
      </c>
      <c r="D132" t="s">
        <v>324</v>
      </c>
      <c r="E132" t="s">
        <v>326</v>
      </c>
      <c r="F132" s="1" t="s">
        <v>450</v>
      </c>
      <c r="H132" s="12" t="s">
        <v>285</v>
      </c>
      <c r="I132" s="11" t="s">
        <v>1358</v>
      </c>
      <c r="J132" s="12" t="s">
        <v>316</v>
      </c>
      <c r="K132" s="13">
        <v>21.2</v>
      </c>
      <c r="L132" s="12">
        <v>600</v>
      </c>
      <c r="M132" s="12">
        <v>1140</v>
      </c>
      <c r="N132" s="12">
        <v>7.98</v>
      </c>
      <c r="O132" s="19">
        <v>617.36</v>
      </c>
      <c r="Q132" t="s">
        <v>610</v>
      </c>
    </row>
    <row r="133" spans="3:17" x14ac:dyDescent="0.2">
      <c r="C133" s="1" t="s">
        <v>235</v>
      </c>
      <c r="D133" t="s">
        <v>324</v>
      </c>
      <c r="E133" t="s">
        <v>326</v>
      </c>
      <c r="F133" s="1" t="s">
        <v>451</v>
      </c>
      <c r="H133" s="12" t="s">
        <v>286</v>
      </c>
      <c r="I133" s="11" t="s">
        <v>1359</v>
      </c>
      <c r="J133" s="12" t="s">
        <v>316</v>
      </c>
      <c r="K133" s="13">
        <v>24</v>
      </c>
      <c r="L133" s="12">
        <v>768</v>
      </c>
      <c r="M133" s="12">
        <v>1205</v>
      </c>
      <c r="N133" s="12">
        <v>7.98</v>
      </c>
      <c r="O133" s="19" t="s">
        <v>904</v>
      </c>
      <c r="Q133" t="s">
        <v>611</v>
      </c>
    </row>
    <row r="134" spans="3:17" x14ac:dyDescent="0.2">
      <c r="C134" s="1" t="s">
        <v>236</v>
      </c>
      <c r="D134" t="s">
        <v>324</v>
      </c>
      <c r="E134" t="s">
        <v>326</v>
      </c>
      <c r="F134" s="1" t="s">
        <v>452</v>
      </c>
      <c r="H134" s="12" t="s">
        <v>287</v>
      </c>
      <c r="I134" s="11" t="s">
        <v>1360</v>
      </c>
      <c r="J134" s="12" t="s">
        <v>316</v>
      </c>
      <c r="K134" s="13">
        <v>24.8</v>
      </c>
      <c r="L134" s="12">
        <v>816</v>
      </c>
      <c r="M134" s="12">
        <v>1320</v>
      </c>
      <c r="N134" s="12">
        <v>7.98</v>
      </c>
      <c r="O134" s="19" t="s">
        <v>904</v>
      </c>
      <c r="Q134" t="s">
        <v>612</v>
      </c>
    </row>
    <row r="135" spans="3:17" x14ac:dyDescent="0.2">
      <c r="C135" s="1" t="s">
        <v>237</v>
      </c>
      <c r="D135" t="s">
        <v>324</v>
      </c>
      <c r="E135" t="s">
        <v>326</v>
      </c>
      <c r="F135" s="1" t="s">
        <v>453</v>
      </c>
      <c r="H135" s="12" t="s">
        <v>288</v>
      </c>
      <c r="I135" s="11" t="s">
        <v>1361</v>
      </c>
      <c r="J135" s="12" t="s">
        <v>316</v>
      </c>
      <c r="K135" s="13">
        <v>27.5</v>
      </c>
      <c r="L135" s="12">
        <v>1008</v>
      </c>
      <c r="M135" s="12">
        <v>1610</v>
      </c>
      <c r="N135" s="12">
        <v>7.98</v>
      </c>
      <c r="O135" s="19" t="s">
        <v>904</v>
      </c>
      <c r="Q135" t="s">
        <v>613</v>
      </c>
    </row>
    <row r="136" spans="3:17" x14ac:dyDescent="0.2">
      <c r="C136" s="1" t="s">
        <v>238</v>
      </c>
      <c r="D136" t="s">
        <v>324</v>
      </c>
      <c r="E136" t="s">
        <v>326</v>
      </c>
      <c r="F136" s="1" t="s">
        <v>454</v>
      </c>
      <c r="H136" s="12" t="s">
        <v>289</v>
      </c>
      <c r="I136" s="11" t="s">
        <v>1362</v>
      </c>
      <c r="J136" s="12" t="s">
        <v>316</v>
      </c>
      <c r="K136" s="13">
        <v>29.8</v>
      </c>
      <c r="L136" s="12">
        <v>1200</v>
      </c>
      <c r="M136" s="12">
        <v>1885</v>
      </c>
      <c r="N136" s="12">
        <v>7.98</v>
      </c>
      <c r="O136" s="19" t="s">
        <v>904</v>
      </c>
      <c r="Q136" t="s">
        <v>614</v>
      </c>
    </row>
    <row r="137" spans="3:17" x14ac:dyDescent="0.2">
      <c r="C137" s="1" t="s">
        <v>239</v>
      </c>
      <c r="D137" t="s">
        <v>324</v>
      </c>
      <c r="E137" t="s">
        <v>326</v>
      </c>
      <c r="F137" s="1" t="s">
        <v>455</v>
      </c>
      <c r="H137" s="12" t="s">
        <v>290</v>
      </c>
      <c r="I137" s="11" t="s">
        <v>1363</v>
      </c>
      <c r="J137" s="12" t="s">
        <v>316</v>
      </c>
      <c r="K137" s="13">
        <v>32.1</v>
      </c>
      <c r="L137" s="12">
        <v>1464</v>
      </c>
      <c r="M137" s="12">
        <v>2475</v>
      </c>
      <c r="N137" s="12">
        <v>7.98</v>
      </c>
      <c r="O137" s="19" t="s">
        <v>904</v>
      </c>
      <c r="Q137" t="s">
        <v>615</v>
      </c>
    </row>
    <row r="138" spans="3:17" x14ac:dyDescent="0.2">
      <c r="C138" s="1" t="s">
        <v>240</v>
      </c>
      <c r="D138" t="s">
        <v>324</v>
      </c>
      <c r="E138" t="s">
        <v>326</v>
      </c>
      <c r="F138" s="1" t="s">
        <v>456</v>
      </c>
      <c r="H138" s="12" t="s">
        <v>291</v>
      </c>
      <c r="I138" s="11" t="s">
        <v>1364</v>
      </c>
      <c r="J138" s="12" t="s">
        <v>316</v>
      </c>
      <c r="K138" s="13">
        <v>41.1</v>
      </c>
      <c r="L138" s="12">
        <v>2400</v>
      </c>
      <c r="M138" s="12">
        <v>4005</v>
      </c>
      <c r="N138" s="12">
        <v>7.98</v>
      </c>
      <c r="O138" s="19" t="s">
        <v>904</v>
      </c>
      <c r="Q138" t="s">
        <v>616</v>
      </c>
    </row>
    <row r="139" spans="3:17" ht="3.6" customHeight="1" x14ac:dyDescent="0.2">
      <c r="H139" s="15"/>
      <c r="I139" s="16"/>
      <c r="J139" s="15"/>
      <c r="K139" s="17"/>
      <c r="L139" s="15"/>
      <c r="M139" s="15"/>
      <c r="N139" s="15"/>
      <c r="O139" s="20"/>
    </row>
    <row r="140" spans="3:17" x14ac:dyDescent="0.2">
      <c r="C140" s="1" t="s">
        <v>241</v>
      </c>
      <c r="D140" t="s">
        <v>323</v>
      </c>
      <c r="E140" t="s">
        <v>325</v>
      </c>
      <c r="F140" s="1" t="s">
        <v>332</v>
      </c>
      <c r="H140" s="12" t="s">
        <v>292</v>
      </c>
      <c r="I140" s="11" t="s">
        <v>1365</v>
      </c>
      <c r="J140" s="12" t="s">
        <v>317</v>
      </c>
      <c r="K140" s="13">
        <v>9.3000000000000007</v>
      </c>
      <c r="L140" s="13">
        <v>77</v>
      </c>
      <c r="M140" s="12">
        <v>175</v>
      </c>
      <c r="N140" s="12">
        <v>4.95</v>
      </c>
      <c r="O140" s="19">
        <v>89</v>
      </c>
      <c r="Q140" t="s">
        <v>617</v>
      </c>
    </row>
    <row r="141" spans="3:17" x14ac:dyDescent="0.2">
      <c r="C141" s="1" t="s">
        <v>242</v>
      </c>
      <c r="D141" t="s">
        <v>324</v>
      </c>
      <c r="E141" t="s">
        <v>326</v>
      </c>
      <c r="F141" s="1" t="s">
        <v>457</v>
      </c>
      <c r="H141" s="12" t="s">
        <v>293</v>
      </c>
      <c r="I141" s="11" t="s">
        <v>1366</v>
      </c>
      <c r="J141" s="12" t="s">
        <v>317</v>
      </c>
      <c r="K141" s="13">
        <v>10.199999999999999</v>
      </c>
      <c r="L141" s="12">
        <v>115</v>
      </c>
      <c r="M141" s="12">
        <v>210</v>
      </c>
      <c r="N141" s="12">
        <v>4.95</v>
      </c>
      <c r="O141" s="19">
        <v>112.71</v>
      </c>
      <c r="Q141" t="s">
        <v>618</v>
      </c>
    </row>
    <row r="142" spans="3:17" x14ac:dyDescent="0.2">
      <c r="C142" s="1" t="s">
        <v>243</v>
      </c>
      <c r="D142" t="s">
        <v>324</v>
      </c>
      <c r="E142" t="s">
        <v>326</v>
      </c>
      <c r="F142" s="1" t="s">
        <v>458</v>
      </c>
      <c r="H142" s="12" t="s">
        <v>294</v>
      </c>
      <c r="I142" s="11" t="s">
        <v>1367</v>
      </c>
      <c r="J142" s="12" t="s">
        <v>317</v>
      </c>
      <c r="K142" s="13">
        <v>11.1</v>
      </c>
      <c r="L142" s="12">
        <v>154</v>
      </c>
      <c r="M142" s="12">
        <v>270</v>
      </c>
      <c r="N142" s="12">
        <v>4.95</v>
      </c>
      <c r="O142" s="19">
        <v>155.31</v>
      </c>
      <c r="Q142" t="s">
        <v>619</v>
      </c>
    </row>
    <row r="143" spans="3:17" x14ac:dyDescent="0.2">
      <c r="C143" s="1" t="s">
        <v>244</v>
      </c>
      <c r="D143" t="s">
        <v>324</v>
      </c>
      <c r="E143" t="s">
        <v>326</v>
      </c>
      <c r="F143" s="1" t="s">
        <v>459</v>
      </c>
      <c r="H143" s="12" t="s">
        <v>295</v>
      </c>
      <c r="I143" s="11" t="s">
        <v>1368</v>
      </c>
      <c r="J143" s="12" t="s">
        <v>317</v>
      </c>
      <c r="K143" s="13">
        <v>12.4</v>
      </c>
      <c r="L143" s="12">
        <v>192</v>
      </c>
      <c r="M143" s="12">
        <v>300</v>
      </c>
      <c r="N143" s="12">
        <v>4.95</v>
      </c>
      <c r="O143" s="19">
        <v>182.51</v>
      </c>
      <c r="Q143" t="s">
        <v>620</v>
      </c>
    </row>
    <row r="144" spans="3:17" x14ac:dyDescent="0.2">
      <c r="C144" s="1" t="s">
        <v>245</v>
      </c>
      <c r="D144" t="s">
        <v>324</v>
      </c>
      <c r="E144" t="s">
        <v>326</v>
      </c>
      <c r="F144" s="1" t="s">
        <v>460</v>
      </c>
      <c r="H144" s="12" t="s">
        <v>296</v>
      </c>
      <c r="I144" s="11" t="s">
        <v>1369</v>
      </c>
      <c r="J144" s="12" t="s">
        <v>317</v>
      </c>
      <c r="K144" s="13">
        <v>13.7</v>
      </c>
      <c r="L144" s="12">
        <v>269</v>
      </c>
      <c r="M144" s="12">
        <v>410</v>
      </c>
      <c r="N144" s="12">
        <v>4.95</v>
      </c>
      <c r="O144" s="19">
        <v>273.11</v>
      </c>
      <c r="Q144" t="s">
        <v>621</v>
      </c>
    </row>
    <row r="145" spans="3:17" x14ac:dyDescent="0.2">
      <c r="C145" s="1" t="s">
        <v>246</v>
      </c>
      <c r="D145" t="s">
        <v>324</v>
      </c>
      <c r="E145" t="s">
        <v>326</v>
      </c>
      <c r="F145" s="1" t="s">
        <v>461</v>
      </c>
      <c r="H145" s="12" t="s">
        <v>297</v>
      </c>
      <c r="I145" s="11" t="s">
        <v>1370</v>
      </c>
      <c r="J145" s="12" t="s">
        <v>317</v>
      </c>
      <c r="K145" s="13">
        <v>18.100000000000001</v>
      </c>
      <c r="L145" s="12">
        <v>461</v>
      </c>
      <c r="M145" s="12">
        <v>710</v>
      </c>
      <c r="N145" s="12">
        <v>4.95</v>
      </c>
      <c r="O145" s="19">
        <v>480.56</v>
      </c>
      <c r="Q145" t="s">
        <v>622</v>
      </c>
    </row>
    <row r="146" spans="3:17" ht="3.6" customHeight="1" x14ac:dyDescent="0.2">
      <c r="H146" s="15"/>
      <c r="I146" s="16"/>
      <c r="J146" s="15"/>
      <c r="K146" s="17"/>
      <c r="L146" s="15"/>
      <c r="M146" s="15"/>
      <c r="N146" s="15"/>
      <c r="O146" s="20"/>
    </row>
    <row r="147" spans="3:17" x14ac:dyDescent="0.2">
      <c r="C147" s="1" t="s">
        <v>247</v>
      </c>
      <c r="D147" t="s">
        <v>324</v>
      </c>
      <c r="E147" t="s">
        <v>326</v>
      </c>
      <c r="F147" s="1" t="s">
        <v>462</v>
      </c>
      <c r="H147" s="12" t="s">
        <v>298</v>
      </c>
      <c r="I147" s="11" t="s">
        <v>1371</v>
      </c>
      <c r="J147" s="12" t="s">
        <v>318</v>
      </c>
      <c r="K147" s="13">
        <v>11.9</v>
      </c>
      <c r="L147" s="12">
        <v>173</v>
      </c>
      <c r="M147" s="12">
        <v>300</v>
      </c>
      <c r="N147" s="19">
        <v>3.3</v>
      </c>
      <c r="O147" s="19">
        <v>165.91</v>
      </c>
      <c r="Q147" t="s">
        <v>623</v>
      </c>
    </row>
    <row r="148" spans="3:17" x14ac:dyDescent="0.2">
      <c r="C148" s="1" t="s">
        <v>248</v>
      </c>
      <c r="D148" t="s">
        <v>324</v>
      </c>
      <c r="E148" t="s">
        <v>326</v>
      </c>
      <c r="F148" s="1" t="s">
        <v>463</v>
      </c>
      <c r="H148" s="12" t="s">
        <v>299</v>
      </c>
      <c r="I148" s="11" t="s">
        <v>1372</v>
      </c>
      <c r="J148" s="12" t="s">
        <v>318</v>
      </c>
      <c r="K148" s="13">
        <v>13.2</v>
      </c>
      <c r="L148" s="12">
        <v>230</v>
      </c>
      <c r="M148" s="12">
        <v>330</v>
      </c>
      <c r="N148" s="19">
        <v>3.3</v>
      </c>
      <c r="O148" s="19">
        <v>214.62</v>
      </c>
      <c r="Q148" t="s">
        <v>624</v>
      </c>
    </row>
    <row r="149" spans="3:17" x14ac:dyDescent="0.2">
      <c r="C149" s="1" t="s">
        <v>249</v>
      </c>
      <c r="D149" t="s">
        <v>324</v>
      </c>
      <c r="E149" t="s">
        <v>326</v>
      </c>
      <c r="F149" s="1" t="s">
        <v>464</v>
      </c>
      <c r="H149" s="12" t="s">
        <v>300</v>
      </c>
      <c r="I149" s="11" t="s">
        <v>1373</v>
      </c>
      <c r="J149" s="12" t="s">
        <v>318</v>
      </c>
      <c r="K149" s="13">
        <v>14.5</v>
      </c>
      <c r="L149" s="12">
        <v>288</v>
      </c>
      <c r="M149" s="12">
        <v>430</v>
      </c>
      <c r="N149" s="19">
        <v>3.3</v>
      </c>
      <c r="O149" s="19">
        <v>296.74</v>
      </c>
      <c r="Q149" t="s">
        <v>625</v>
      </c>
    </row>
    <row r="150" spans="3:17" x14ac:dyDescent="0.2">
      <c r="C150" s="1" t="s">
        <v>250</v>
      </c>
      <c r="D150" t="s">
        <v>324</v>
      </c>
      <c r="E150" t="s">
        <v>326</v>
      </c>
      <c r="F150" s="1" t="s">
        <v>465</v>
      </c>
      <c r="H150" s="12" t="s">
        <v>301</v>
      </c>
      <c r="I150" s="11" t="s">
        <v>1374</v>
      </c>
      <c r="J150" s="12" t="s">
        <v>318</v>
      </c>
      <c r="K150" s="13">
        <v>16.100000000000001</v>
      </c>
      <c r="L150" s="12">
        <v>403</v>
      </c>
      <c r="M150" s="12">
        <v>600</v>
      </c>
      <c r="N150" s="19">
        <v>3.3</v>
      </c>
      <c r="O150" s="19">
        <v>391.52</v>
      </c>
      <c r="Q150" t="s">
        <v>626</v>
      </c>
    </row>
    <row r="151" spans="3:17" ht="3.6" customHeight="1" x14ac:dyDescent="0.2">
      <c r="H151" s="15"/>
      <c r="I151" s="16"/>
      <c r="J151" s="15"/>
      <c r="K151" s="17"/>
      <c r="L151" s="15"/>
      <c r="M151" s="15"/>
      <c r="N151" s="15"/>
      <c r="O151" s="20"/>
    </row>
    <row r="152" spans="3:17" x14ac:dyDescent="0.2">
      <c r="C152" s="1" t="s">
        <v>251</v>
      </c>
      <c r="D152" t="s">
        <v>324</v>
      </c>
      <c r="E152" t="s">
        <v>326</v>
      </c>
      <c r="F152" s="1" t="s">
        <v>466</v>
      </c>
      <c r="H152" s="12" t="s">
        <v>302</v>
      </c>
      <c r="I152" s="11" t="s">
        <v>1375</v>
      </c>
      <c r="J152" s="12" t="s">
        <v>319</v>
      </c>
      <c r="K152" s="13">
        <v>15</v>
      </c>
      <c r="L152" s="12">
        <v>288</v>
      </c>
      <c r="M152" s="12">
        <v>545</v>
      </c>
      <c r="N152" s="12">
        <v>1.91</v>
      </c>
      <c r="O152" s="19">
        <v>282.26</v>
      </c>
      <c r="Q152" t="s">
        <v>627</v>
      </c>
    </row>
    <row r="153" spans="3:17" x14ac:dyDescent="0.2">
      <c r="C153" s="1" t="s">
        <v>252</v>
      </c>
      <c r="D153" t="s">
        <v>324</v>
      </c>
      <c r="E153" t="s">
        <v>326</v>
      </c>
      <c r="F153" s="1" t="s">
        <v>467</v>
      </c>
      <c r="H153" s="12" t="s">
        <v>303</v>
      </c>
      <c r="I153" s="11" t="s">
        <v>1376</v>
      </c>
      <c r="J153" s="12" t="s">
        <v>319</v>
      </c>
      <c r="K153" s="13">
        <v>16.600000000000001</v>
      </c>
      <c r="L153" s="12">
        <v>384</v>
      </c>
      <c r="M153" s="12">
        <v>750</v>
      </c>
      <c r="N153" s="12">
        <v>1.91</v>
      </c>
      <c r="O153" s="19">
        <v>363.56</v>
      </c>
      <c r="Q153" t="s">
        <v>628</v>
      </c>
    </row>
    <row r="154" spans="3:17" x14ac:dyDescent="0.2">
      <c r="C154" s="1" t="s">
        <v>253</v>
      </c>
      <c r="D154" t="s">
        <v>324</v>
      </c>
      <c r="E154" t="s">
        <v>326</v>
      </c>
      <c r="F154" s="1" t="s">
        <v>468</v>
      </c>
      <c r="H154" s="12" t="s">
        <v>304</v>
      </c>
      <c r="I154" s="11" t="s">
        <v>1377</v>
      </c>
      <c r="J154" s="12" t="s">
        <v>319</v>
      </c>
      <c r="K154" s="13">
        <v>18.399999999999999</v>
      </c>
      <c r="L154" s="12">
        <v>480</v>
      </c>
      <c r="M154" s="12">
        <v>930</v>
      </c>
      <c r="N154" s="12">
        <v>1.91</v>
      </c>
      <c r="O154" s="19">
        <v>477.55</v>
      </c>
      <c r="Q154" t="s">
        <v>629</v>
      </c>
    </row>
    <row r="155" spans="3:17" x14ac:dyDescent="0.2">
      <c r="C155" s="1" t="s">
        <v>254</v>
      </c>
      <c r="D155" t="s">
        <v>324</v>
      </c>
      <c r="E155" t="s">
        <v>326</v>
      </c>
      <c r="F155" s="1" t="s">
        <v>469</v>
      </c>
      <c r="H155" s="12" t="s">
        <v>305</v>
      </c>
      <c r="I155" s="11" t="s">
        <v>1378</v>
      </c>
      <c r="J155" s="12" t="s">
        <v>319</v>
      </c>
      <c r="K155" s="13">
        <v>20.3</v>
      </c>
      <c r="L155" s="12">
        <v>672</v>
      </c>
      <c r="M155" s="12">
        <v>1105</v>
      </c>
      <c r="N155" s="12">
        <v>1.91</v>
      </c>
      <c r="O155" s="19">
        <v>660.65</v>
      </c>
      <c r="Q155" t="s">
        <v>630</v>
      </c>
    </row>
    <row r="156" spans="3:17" ht="3.6" customHeight="1" x14ac:dyDescent="0.2">
      <c r="H156" s="15"/>
      <c r="I156" s="16"/>
      <c r="J156" s="15"/>
      <c r="K156" s="17"/>
      <c r="L156" s="15"/>
      <c r="M156" s="15"/>
      <c r="N156" s="15"/>
      <c r="O156" s="20"/>
    </row>
    <row r="157" spans="3:17" x14ac:dyDescent="0.2">
      <c r="C157" s="1" t="s">
        <v>255</v>
      </c>
      <c r="D157" t="s">
        <v>324</v>
      </c>
      <c r="E157" t="s">
        <v>326</v>
      </c>
      <c r="F157" s="1" t="s">
        <v>470</v>
      </c>
      <c r="H157" s="12" t="s">
        <v>306</v>
      </c>
      <c r="I157" s="11" t="s">
        <v>1379</v>
      </c>
      <c r="J157" s="12" t="s">
        <v>320</v>
      </c>
      <c r="K157" s="13">
        <v>16.8</v>
      </c>
      <c r="L157" s="12">
        <v>461</v>
      </c>
      <c r="M157" s="12">
        <v>830</v>
      </c>
      <c r="N157" s="12">
        <v>1.21</v>
      </c>
      <c r="O157" s="19">
        <v>424</v>
      </c>
      <c r="Q157" t="s">
        <v>631</v>
      </c>
    </row>
    <row r="158" spans="3:17" x14ac:dyDescent="0.2">
      <c r="C158" s="1" t="s">
        <v>256</v>
      </c>
      <c r="D158" t="s">
        <v>324</v>
      </c>
      <c r="E158" t="s">
        <v>326</v>
      </c>
      <c r="F158" s="1" t="s">
        <v>471</v>
      </c>
      <c r="H158" s="12" t="s">
        <v>307</v>
      </c>
      <c r="I158" s="11" t="s">
        <v>1380</v>
      </c>
      <c r="J158" s="12" t="s">
        <v>320</v>
      </c>
      <c r="K158" s="13">
        <v>19.2</v>
      </c>
      <c r="L158" s="12">
        <v>614</v>
      </c>
      <c r="M158" s="12">
        <v>1050</v>
      </c>
      <c r="N158" s="12">
        <v>1.21</v>
      </c>
      <c r="O158" s="19">
        <v>560.02</v>
      </c>
      <c r="Q158" t="s">
        <v>632</v>
      </c>
    </row>
    <row r="159" spans="3:17" x14ac:dyDescent="0.2">
      <c r="C159" s="1" t="s">
        <v>257</v>
      </c>
      <c r="D159" t="s">
        <v>324</v>
      </c>
      <c r="E159" t="s">
        <v>326</v>
      </c>
      <c r="F159" s="1" t="s">
        <v>472</v>
      </c>
      <c r="H159" s="12" t="s">
        <v>308</v>
      </c>
      <c r="I159" s="11" t="s">
        <v>1381</v>
      </c>
      <c r="J159" s="12" t="s">
        <v>320</v>
      </c>
      <c r="K159" s="13">
        <v>21.6</v>
      </c>
      <c r="L159" s="12">
        <v>768</v>
      </c>
      <c r="M159" s="12">
        <v>1300</v>
      </c>
      <c r="N159" s="12">
        <v>1.21</v>
      </c>
      <c r="O159" s="19">
        <v>729.96</v>
      </c>
      <c r="Q159" t="s">
        <v>633</v>
      </c>
    </row>
    <row r="160" spans="3:17" x14ac:dyDescent="0.2">
      <c r="C160" s="1" t="s">
        <v>258</v>
      </c>
      <c r="D160" t="s">
        <v>324</v>
      </c>
      <c r="E160" t="s">
        <v>326</v>
      </c>
      <c r="F160" s="1" t="s">
        <v>473</v>
      </c>
      <c r="H160" s="12" t="s">
        <v>309</v>
      </c>
      <c r="I160" s="11" t="s">
        <v>1382</v>
      </c>
      <c r="J160" s="12" t="s">
        <v>320</v>
      </c>
      <c r="K160" s="13">
        <v>23.8</v>
      </c>
      <c r="L160" s="12">
        <v>1075</v>
      </c>
      <c r="M160" s="12">
        <v>1735</v>
      </c>
      <c r="N160" s="12">
        <v>1.21</v>
      </c>
      <c r="O160" s="19">
        <v>1073.8800000000001</v>
      </c>
      <c r="Q160" t="s">
        <v>634</v>
      </c>
    </row>
    <row r="161" spans="3:17" ht="3.6" customHeight="1" x14ac:dyDescent="0.2">
      <c r="H161" s="15"/>
      <c r="I161" s="16"/>
      <c r="J161" s="15"/>
      <c r="K161" s="17"/>
      <c r="L161" s="15"/>
      <c r="M161" s="15"/>
      <c r="N161" s="15"/>
      <c r="O161" s="20"/>
    </row>
    <row r="162" spans="3:17" x14ac:dyDescent="0.2">
      <c r="C162" s="1" t="s">
        <v>259</v>
      </c>
      <c r="D162" t="s">
        <v>324</v>
      </c>
      <c r="E162" t="s">
        <v>326</v>
      </c>
      <c r="F162" s="1" t="s">
        <v>474</v>
      </c>
      <c r="H162" s="12" t="s">
        <v>310</v>
      </c>
      <c r="I162" s="11" t="s">
        <v>1383</v>
      </c>
      <c r="J162" s="12" t="s">
        <v>321</v>
      </c>
      <c r="K162" s="13">
        <v>22.8</v>
      </c>
      <c r="L162" s="12">
        <v>720</v>
      </c>
      <c r="M162" s="12">
        <v>1065</v>
      </c>
      <c r="N162" s="37">
        <v>0.78</v>
      </c>
      <c r="O162" s="19">
        <v>654</v>
      </c>
      <c r="Q162" t="s">
        <v>635</v>
      </c>
    </row>
    <row r="163" spans="3:17" x14ac:dyDescent="0.2">
      <c r="C163" s="1" t="s">
        <v>260</v>
      </c>
      <c r="D163" t="s">
        <v>324</v>
      </c>
      <c r="E163" t="s">
        <v>326</v>
      </c>
      <c r="F163" s="1" t="s">
        <v>475</v>
      </c>
      <c r="H163" s="12" t="s">
        <v>311</v>
      </c>
      <c r="I163" s="11" t="s">
        <v>1384</v>
      </c>
      <c r="J163" s="12" t="s">
        <v>321</v>
      </c>
      <c r="K163" s="13">
        <v>23.9</v>
      </c>
      <c r="L163" s="12">
        <v>960</v>
      </c>
      <c r="M163" s="12">
        <v>1675</v>
      </c>
      <c r="N163" s="37">
        <v>0.78</v>
      </c>
      <c r="O163" s="19">
        <v>866.43</v>
      </c>
      <c r="Q163" t="s">
        <v>636</v>
      </c>
    </row>
    <row r="164" spans="3:17" x14ac:dyDescent="0.2">
      <c r="C164" s="1" t="s">
        <v>261</v>
      </c>
      <c r="D164" t="s">
        <v>324</v>
      </c>
      <c r="E164" t="s">
        <v>326</v>
      </c>
      <c r="F164" s="1" t="s">
        <v>476</v>
      </c>
      <c r="H164" s="12" t="s">
        <v>312</v>
      </c>
      <c r="I164" s="11" t="s">
        <v>1385</v>
      </c>
      <c r="J164" s="12" t="s">
        <v>321</v>
      </c>
      <c r="K164" s="13">
        <v>26.8</v>
      </c>
      <c r="L164" s="12">
        <v>1200</v>
      </c>
      <c r="M164" s="12">
        <v>2100</v>
      </c>
      <c r="N164" s="37">
        <v>0.78</v>
      </c>
      <c r="O164" s="19">
        <v>1109.24</v>
      </c>
      <c r="Q164" t="s">
        <v>637</v>
      </c>
    </row>
    <row r="165" spans="3:17" x14ac:dyDescent="0.2">
      <c r="C165" s="1" t="s">
        <v>262</v>
      </c>
      <c r="D165" t="s">
        <v>324</v>
      </c>
      <c r="E165" t="s">
        <v>326</v>
      </c>
      <c r="F165" s="1" t="s">
        <v>477</v>
      </c>
      <c r="H165" s="12" t="s">
        <v>313</v>
      </c>
      <c r="I165" s="11" t="s">
        <v>1386</v>
      </c>
      <c r="J165" s="12" t="s">
        <v>321</v>
      </c>
      <c r="K165" s="13">
        <v>31</v>
      </c>
      <c r="L165" s="12">
        <v>1680</v>
      </c>
      <c r="M165" s="12">
        <v>2705</v>
      </c>
      <c r="N165" s="37">
        <v>0.78</v>
      </c>
      <c r="O165" s="19" t="s">
        <v>904</v>
      </c>
      <c r="Q165" t="s">
        <v>638</v>
      </c>
    </row>
    <row r="166" spans="3:17" ht="3.6" customHeight="1" x14ac:dyDescent="0.2">
      <c r="H166" s="15"/>
      <c r="I166" s="16"/>
      <c r="J166" s="15"/>
      <c r="K166" s="17"/>
      <c r="L166" s="15"/>
      <c r="M166" s="15"/>
      <c r="N166" s="15"/>
      <c r="O166" s="20"/>
    </row>
    <row r="167" spans="3:17" x14ac:dyDescent="0.2">
      <c r="C167" s="1" t="s">
        <v>263</v>
      </c>
      <c r="D167" t="s">
        <v>324</v>
      </c>
      <c r="E167" t="s">
        <v>326</v>
      </c>
      <c r="F167" s="1" t="s">
        <v>478</v>
      </c>
      <c r="H167" s="12" t="s">
        <v>314</v>
      </c>
      <c r="I167" s="11" t="s">
        <v>1387</v>
      </c>
      <c r="J167" s="12" t="s">
        <v>322</v>
      </c>
      <c r="K167" s="13">
        <v>28.4</v>
      </c>
      <c r="L167" s="12">
        <v>1344</v>
      </c>
      <c r="M167" s="12">
        <v>2050</v>
      </c>
      <c r="N167" s="12">
        <v>0.55400000000000005</v>
      </c>
      <c r="O167" s="19">
        <v>1289.1199999999999</v>
      </c>
      <c r="Q167" t="s">
        <v>639</v>
      </c>
    </row>
    <row r="168" spans="3:17" x14ac:dyDescent="0.2">
      <c r="C168" s="1" t="s">
        <v>264</v>
      </c>
      <c r="D168" t="s">
        <v>324</v>
      </c>
      <c r="E168" t="s">
        <v>326</v>
      </c>
      <c r="F168" s="1" t="s">
        <v>479</v>
      </c>
      <c r="H168" s="12" t="s">
        <v>315</v>
      </c>
      <c r="I168" s="11" t="s">
        <v>1388</v>
      </c>
      <c r="J168" s="12" t="s">
        <v>322</v>
      </c>
      <c r="K168" s="13">
        <v>32.1</v>
      </c>
      <c r="L168" s="12">
        <v>1680</v>
      </c>
      <c r="M168" s="12">
        <v>2635</v>
      </c>
      <c r="N168" s="12">
        <v>0.55400000000000005</v>
      </c>
      <c r="O168" s="19">
        <v>1593.62</v>
      </c>
      <c r="Q168" t="s">
        <v>640</v>
      </c>
    </row>
  </sheetData>
  <mergeCells count="1">
    <mergeCell ref="I4:I5"/>
  </mergeCells>
  <pageMargins left="0.17" right="0.17" top="0.24" bottom="0.17" header="0.3" footer="0.3"/>
  <pageSetup scale="85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7F12-A542-4E80-9868-B4B0010FC109}">
  <sheetPr>
    <tabColor rgb="FF00B050"/>
  </sheetPr>
  <dimension ref="A1:Q115"/>
  <sheetViews>
    <sheetView topLeftCell="G1" zoomScaleNormal="100" workbookViewId="0">
      <selection activeCell="H73" sqref="H73"/>
    </sheetView>
  </sheetViews>
  <sheetFormatPr defaultRowHeight="14.25" x14ac:dyDescent="0.2"/>
  <cols>
    <col min="1" max="1" width="1.875" hidden="1" customWidth="1"/>
    <col min="2" max="2" width="13.125" style="1" hidden="1" customWidth="1"/>
    <col min="3" max="3" width="20.375" hidden="1" customWidth="1"/>
    <col min="4" max="4" width="7" hidden="1" customWidth="1"/>
    <col min="5" max="6" width="14.375" style="1" hidden="1" customWidth="1"/>
    <col min="7" max="7" width="5.875" style="1" customWidth="1"/>
    <col min="8" max="8" width="14.375" style="1" customWidth="1"/>
    <col min="9" max="9" width="37.875" style="1" customWidth="1"/>
    <col min="10" max="10" width="19" style="1" customWidth="1"/>
    <col min="11" max="11" width="9.375" style="3" bestFit="1" customWidth="1"/>
    <col min="12" max="13" width="9.75" style="1" bestFit="1" customWidth="1"/>
    <col min="14" max="14" width="17.875" style="1" bestFit="1" customWidth="1"/>
    <col min="15" max="15" width="14.75" style="1" customWidth="1"/>
    <col min="16" max="16" width="11.625" style="1" customWidth="1"/>
    <col min="17" max="17" width="57" customWidth="1"/>
  </cols>
  <sheetData>
    <row r="1" spans="2:17" x14ac:dyDescent="0.2">
      <c r="K1" s="1"/>
    </row>
    <row r="2" spans="2:17" x14ac:dyDescent="0.2">
      <c r="I2" s="34" t="s">
        <v>1842</v>
      </c>
      <c r="K2" s="1"/>
    </row>
    <row r="3" spans="2:17" x14ac:dyDescent="0.2">
      <c r="K3" s="1"/>
    </row>
    <row r="4" spans="2:17" s="5" customFormat="1" ht="20.45" customHeight="1" x14ac:dyDescent="0.2">
      <c r="B4" s="4" t="s">
        <v>131</v>
      </c>
      <c r="E4" s="4"/>
      <c r="F4" s="4"/>
      <c r="G4" s="4"/>
      <c r="H4" s="6" t="s">
        <v>164</v>
      </c>
      <c r="I4" s="38" t="s">
        <v>480</v>
      </c>
      <c r="J4" s="6" t="s">
        <v>486</v>
      </c>
      <c r="K4" s="7" t="s">
        <v>170</v>
      </c>
      <c r="L4" s="6" t="s">
        <v>481</v>
      </c>
      <c r="M4" s="6" t="s">
        <v>482</v>
      </c>
      <c r="N4" s="6" t="s">
        <v>172</v>
      </c>
      <c r="O4" s="6" t="s">
        <v>913</v>
      </c>
      <c r="P4" s="1"/>
    </row>
    <row r="5" spans="2:17" s="5" customFormat="1" ht="20.45" customHeight="1" x14ac:dyDescent="0.2">
      <c r="B5" s="4"/>
      <c r="E5" s="4"/>
      <c r="F5" s="4"/>
      <c r="G5" s="4"/>
      <c r="H5" s="8" t="s">
        <v>484</v>
      </c>
      <c r="I5" s="39"/>
      <c r="J5" s="8" t="s">
        <v>169</v>
      </c>
      <c r="K5" s="9" t="s">
        <v>483</v>
      </c>
      <c r="L5" s="8" t="s">
        <v>171</v>
      </c>
      <c r="M5" s="8" t="s">
        <v>171</v>
      </c>
      <c r="N5" s="10" t="s">
        <v>485</v>
      </c>
      <c r="O5" s="24" t="s">
        <v>914</v>
      </c>
      <c r="P5" s="1"/>
      <c r="Q5" s="18" t="s">
        <v>905</v>
      </c>
    </row>
    <row r="6" spans="2:17" x14ac:dyDescent="0.2">
      <c r="B6" s="1" t="s">
        <v>85</v>
      </c>
      <c r="C6" t="s">
        <v>323</v>
      </c>
      <c r="D6" t="s">
        <v>325</v>
      </c>
      <c r="E6" s="2" t="s">
        <v>327</v>
      </c>
      <c r="F6" s="2"/>
      <c r="G6" s="2"/>
      <c r="H6" s="12" t="s">
        <v>165</v>
      </c>
      <c r="I6" s="11" t="s">
        <v>1389</v>
      </c>
      <c r="J6" s="12" t="s">
        <v>24</v>
      </c>
      <c r="K6" s="13">
        <v>5.3</v>
      </c>
      <c r="L6" s="12">
        <v>32</v>
      </c>
      <c r="M6" s="12">
        <v>45</v>
      </c>
      <c r="N6" s="13">
        <v>39</v>
      </c>
      <c r="O6" s="19">
        <v>37.47</v>
      </c>
      <c r="Q6" t="s">
        <v>808</v>
      </c>
    </row>
    <row r="7" spans="2:17" x14ac:dyDescent="0.2">
      <c r="B7" s="1" t="s">
        <v>86</v>
      </c>
      <c r="C7" t="s">
        <v>324</v>
      </c>
      <c r="D7" t="s">
        <v>326</v>
      </c>
      <c r="E7" s="1" t="s">
        <v>333</v>
      </c>
      <c r="H7" s="12" t="s">
        <v>0</v>
      </c>
      <c r="I7" s="11" t="s">
        <v>1390</v>
      </c>
      <c r="J7" s="12" t="s">
        <v>24</v>
      </c>
      <c r="K7" s="13">
        <v>5.6</v>
      </c>
      <c r="L7" s="12">
        <v>39</v>
      </c>
      <c r="M7" s="12">
        <v>55</v>
      </c>
      <c r="N7" s="13">
        <v>39</v>
      </c>
      <c r="O7" s="19">
        <v>44.6</v>
      </c>
      <c r="Q7" t="s">
        <v>809</v>
      </c>
    </row>
    <row r="8" spans="2:17" x14ac:dyDescent="0.2">
      <c r="B8" s="1" t="s">
        <v>87</v>
      </c>
      <c r="C8" t="s">
        <v>324</v>
      </c>
      <c r="D8" t="s">
        <v>326</v>
      </c>
      <c r="E8" s="1" t="s">
        <v>334</v>
      </c>
      <c r="H8" s="12" t="s">
        <v>1</v>
      </c>
      <c r="I8" s="11" t="s">
        <v>1391</v>
      </c>
      <c r="J8" s="12" t="s">
        <v>24</v>
      </c>
      <c r="K8" s="13">
        <v>6.3</v>
      </c>
      <c r="L8" s="12">
        <v>46</v>
      </c>
      <c r="M8" s="12">
        <v>60</v>
      </c>
      <c r="N8" s="13">
        <v>39</v>
      </c>
      <c r="O8" s="19">
        <v>50.56</v>
      </c>
      <c r="Q8" t="s">
        <v>810</v>
      </c>
    </row>
    <row r="9" spans="2:17" x14ac:dyDescent="0.2">
      <c r="B9" s="1" t="s">
        <v>88</v>
      </c>
      <c r="C9" t="s">
        <v>324</v>
      </c>
      <c r="D9" t="s">
        <v>326</v>
      </c>
      <c r="E9" s="1" t="s">
        <v>335</v>
      </c>
      <c r="H9" s="12" t="s">
        <v>3</v>
      </c>
      <c r="I9" s="11" t="s">
        <v>1392</v>
      </c>
      <c r="J9" s="12" t="s">
        <v>24</v>
      </c>
      <c r="K9" s="13">
        <v>6.6</v>
      </c>
      <c r="L9" s="12">
        <v>52</v>
      </c>
      <c r="M9" s="12">
        <v>75</v>
      </c>
      <c r="N9" s="13">
        <v>39</v>
      </c>
      <c r="O9" s="19">
        <v>67.36</v>
      </c>
      <c r="Q9" t="s">
        <v>811</v>
      </c>
    </row>
    <row r="10" spans="2:17" x14ac:dyDescent="0.2">
      <c r="B10" s="1" t="s">
        <v>89</v>
      </c>
      <c r="C10" t="s">
        <v>324</v>
      </c>
      <c r="D10" t="s">
        <v>326</v>
      </c>
      <c r="E10" s="1" t="s">
        <v>336</v>
      </c>
      <c r="H10" s="12" t="s">
        <v>2</v>
      </c>
      <c r="I10" s="11" t="s">
        <v>1393</v>
      </c>
      <c r="J10" s="12" t="s">
        <v>24</v>
      </c>
      <c r="K10" s="13">
        <v>7.2</v>
      </c>
      <c r="L10" s="12">
        <v>66</v>
      </c>
      <c r="M10" s="12">
        <v>90</v>
      </c>
      <c r="N10" s="13">
        <v>39</v>
      </c>
      <c r="O10" s="19">
        <v>76.400000000000006</v>
      </c>
      <c r="Q10" t="s">
        <v>812</v>
      </c>
    </row>
    <row r="11" spans="2:17" x14ac:dyDescent="0.2">
      <c r="B11" s="1" t="s">
        <v>90</v>
      </c>
      <c r="C11" t="s">
        <v>324</v>
      </c>
      <c r="D11" t="s">
        <v>326</v>
      </c>
      <c r="E11" s="1" t="s">
        <v>337</v>
      </c>
      <c r="H11" s="12" t="s">
        <v>4</v>
      </c>
      <c r="I11" s="11" t="s">
        <v>1394</v>
      </c>
      <c r="J11" s="12" t="s">
        <v>24</v>
      </c>
      <c r="K11" s="13">
        <v>7.6</v>
      </c>
      <c r="L11" s="12">
        <v>68</v>
      </c>
      <c r="M11" s="12">
        <v>100</v>
      </c>
      <c r="N11" s="13">
        <v>39</v>
      </c>
      <c r="O11" s="19">
        <v>85.44</v>
      </c>
      <c r="Q11" t="s">
        <v>813</v>
      </c>
    </row>
    <row r="12" spans="2:17" x14ac:dyDescent="0.2">
      <c r="B12" s="1" t="s">
        <v>91</v>
      </c>
      <c r="C12" t="s">
        <v>324</v>
      </c>
      <c r="D12" t="s">
        <v>326</v>
      </c>
      <c r="E12" s="1" t="s">
        <v>338</v>
      </c>
      <c r="H12" s="12" t="s">
        <v>5</v>
      </c>
      <c r="I12" s="11" t="s">
        <v>1395</v>
      </c>
      <c r="J12" s="12" t="s">
        <v>24</v>
      </c>
      <c r="K12" s="13">
        <v>8.3000000000000007</v>
      </c>
      <c r="L12" s="12">
        <v>70</v>
      </c>
      <c r="M12" s="12">
        <v>120</v>
      </c>
      <c r="N12" s="13">
        <v>39</v>
      </c>
      <c r="O12" s="19">
        <v>98</v>
      </c>
      <c r="Q12" t="s">
        <v>814</v>
      </c>
    </row>
    <row r="13" spans="2:17" x14ac:dyDescent="0.2">
      <c r="B13" s="1" t="s">
        <v>92</v>
      </c>
      <c r="C13" t="s">
        <v>324</v>
      </c>
      <c r="D13" t="s">
        <v>326</v>
      </c>
      <c r="E13" s="1" t="s">
        <v>339</v>
      </c>
      <c r="H13" s="12" t="s">
        <v>6</v>
      </c>
      <c r="I13" s="11" t="s">
        <v>1396</v>
      </c>
      <c r="J13" s="12" t="s">
        <v>24</v>
      </c>
      <c r="K13" s="13">
        <v>9</v>
      </c>
      <c r="L13" s="12">
        <v>81</v>
      </c>
      <c r="M13" s="12">
        <v>135</v>
      </c>
      <c r="N13" s="13">
        <v>39</v>
      </c>
      <c r="O13" s="19">
        <v>102.44</v>
      </c>
      <c r="Q13" t="s">
        <v>815</v>
      </c>
    </row>
    <row r="14" spans="2:17" x14ac:dyDescent="0.2">
      <c r="B14" s="1" t="s">
        <v>93</v>
      </c>
      <c r="C14" t="s">
        <v>324</v>
      </c>
      <c r="D14" t="s">
        <v>326</v>
      </c>
      <c r="E14" s="1" t="s">
        <v>340</v>
      </c>
      <c r="H14" s="12" t="s">
        <v>7</v>
      </c>
      <c r="I14" s="11" t="s">
        <v>1397</v>
      </c>
      <c r="J14" s="12" t="s">
        <v>24</v>
      </c>
      <c r="K14" s="13">
        <v>9.5</v>
      </c>
      <c r="L14" s="12">
        <v>117</v>
      </c>
      <c r="M14" s="12">
        <v>155</v>
      </c>
      <c r="N14" s="13">
        <v>39</v>
      </c>
      <c r="O14" s="19">
        <v>130.76</v>
      </c>
      <c r="Q14" t="s">
        <v>816</v>
      </c>
    </row>
    <row r="15" spans="2:17" x14ac:dyDescent="0.2">
      <c r="B15" s="1" t="s">
        <v>132</v>
      </c>
      <c r="C15" t="s">
        <v>324</v>
      </c>
      <c r="D15" t="s">
        <v>326</v>
      </c>
      <c r="E15" s="1" t="s">
        <v>341</v>
      </c>
      <c r="H15" s="12" t="s">
        <v>8</v>
      </c>
      <c r="I15" s="11" t="s">
        <v>1398</v>
      </c>
      <c r="J15" s="12" t="s">
        <v>24</v>
      </c>
      <c r="K15" s="13">
        <v>10.4</v>
      </c>
      <c r="L15" s="12">
        <v>122</v>
      </c>
      <c r="M15" s="12">
        <v>190</v>
      </c>
      <c r="N15" s="13">
        <v>39</v>
      </c>
      <c r="O15" s="19">
        <v>151.80000000000001</v>
      </c>
      <c r="Q15" t="s">
        <v>817</v>
      </c>
    </row>
    <row r="16" spans="2:17" x14ac:dyDescent="0.2">
      <c r="B16" s="1" t="s">
        <v>133</v>
      </c>
      <c r="C16" t="s">
        <v>324</v>
      </c>
      <c r="D16" t="s">
        <v>326</v>
      </c>
      <c r="E16" s="1" t="s">
        <v>342</v>
      </c>
      <c r="H16" s="12" t="s">
        <v>9</v>
      </c>
      <c r="I16" s="11" t="s">
        <v>1399</v>
      </c>
      <c r="J16" s="12" t="s">
        <v>24</v>
      </c>
      <c r="K16" s="13">
        <v>11.2</v>
      </c>
      <c r="L16" s="12">
        <v>123</v>
      </c>
      <c r="M16" s="12">
        <v>210</v>
      </c>
      <c r="N16" s="13">
        <v>39</v>
      </c>
      <c r="O16" s="19">
        <v>164</v>
      </c>
      <c r="Q16" t="s">
        <v>818</v>
      </c>
    </row>
    <row r="17" spans="2:17" x14ac:dyDescent="0.2">
      <c r="B17" s="1" t="s">
        <v>134</v>
      </c>
      <c r="C17" t="s">
        <v>324</v>
      </c>
      <c r="D17" t="s">
        <v>326</v>
      </c>
      <c r="E17" s="1" t="s">
        <v>343</v>
      </c>
      <c r="H17" s="12" t="s">
        <v>10</v>
      </c>
      <c r="I17" s="11" t="s">
        <v>1400</v>
      </c>
      <c r="J17" s="12" t="s">
        <v>24</v>
      </c>
      <c r="K17" s="13">
        <v>11.5</v>
      </c>
      <c r="L17" s="12">
        <v>156</v>
      </c>
      <c r="M17" s="12">
        <v>220</v>
      </c>
      <c r="N17" s="13">
        <v>39</v>
      </c>
      <c r="O17" s="19">
        <v>184.51</v>
      </c>
      <c r="Q17" t="s">
        <v>819</v>
      </c>
    </row>
    <row r="18" spans="2:17" x14ac:dyDescent="0.2">
      <c r="B18" s="1" t="s">
        <v>135</v>
      </c>
      <c r="C18" t="s">
        <v>324</v>
      </c>
      <c r="D18" t="s">
        <v>326</v>
      </c>
      <c r="E18" s="1" t="s">
        <v>344</v>
      </c>
      <c r="H18" s="12" t="s">
        <v>11</v>
      </c>
      <c r="I18" s="11" t="s">
        <v>1401</v>
      </c>
      <c r="J18" s="12" t="s">
        <v>24</v>
      </c>
      <c r="K18" s="13">
        <v>11.8</v>
      </c>
      <c r="L18" s="12">
        <v>173</v>
      </c>
      <c r="M18" s="12">
        <v>240</v>
      </c>
      <c r="N18" s="13">
        <v>39</v>
      </c>
      <c r="O18" s="19">
        <v>195.36</v>
      </c>
      <c r="Q18" t="s">
        <v>820</v>
      </c>
    </row>
    <row r="19" spans="2:17" x14ac:dyDescent="0.2">
      <c r="B19" s="1" t="s">
        <v>136</v>
      </c>
      <c r="C19" t="s">
        <v>324</v>
      </c>
      <c r="D19" t="s">
        <v>326</v>
      </c>
      <c r="E19" s="1" t="s">
        <v>345</v>
      </c>
      <c r="H19" s="12" t="s">
        <v>12</v>
      </c>
      <c r="I19" s="11" t="s">
        <v>1402</v>
      </c>
      <c r="J19" s="12" t="s">
        <v>24</v>
      </c>
      <c r="K19" s="13">
        <v>12.3</v>
      </c>
      <c r="L19" s="12">
        <v>189</v>
      </c>
      <c r="M19" s="12">
        <v>250</v>
      </c>
      <c r="N19" s="13">
        <v>39</v>
      </c>
      <c r="O19" s="19">
        <v>205.13</v>
      </c>
      <c r="Q19" t="s">
        <v>821</v>
      </c>
    </row>
    <row r="20" spans="2:17" x14ac:dyDescent="0.2">
      <c r="B20" s="1" t="s">
        <v>137</v>
      </c>
      <c r="C20" t="s">
        <v>324</v>
      </c>
      <c r="D20" t="s">
        <v>326</v>
      </c>
      <c r="E20" s="1" t="s">
        <v>346</v>
      </c>
      <c r="H20" s="12" t="s">
        <v>647</v>
      </c>
      <c r="I20" s="11" t="s">
        <v>1403</v>
      </c>
      <c r="J20" s="12" t="s">
        <v>24</v>
      </c>
      <c r="K20" s="13">
        <v>13</v>
      </c>
      <c r="L20" s="12">
        <v>236</v>
      </c>
      <c r="M20" s="12">
        <v>300</v>
      </c>
      <c r="N20" s="13">
        <v>39</v>
      </c>
      <c r="O20" s="19">
        <f>O21/25*24</f>
        <v>242.304</v>
      </c>
      <c r="Q20" t="s">
        <v>822</v>
      </c>
    </row>
    <row r="21" spans="2:17" x14ac:dyDescent="0.2">
      <c r="B21" s="1" t="s">
        <v>138</v>
      </c>
      <c r="C21" t="s">
        <v>324</v>
      </c>
      <c r="D21" t="s">
        <v>326</v>
      </c>
      <c r="E21" s="1" t="s">
        <v>347</v>
      </c>
      <c r="H21" s="12" t="s">
        <v>13</v>
      </c>
      <c r="I21" s="11" t="s">
        <v>1404</v>
      </c>
      <c r="J21" s="12" t="s">
        <v>24</v>
      </c>
      <c r="K21" s="13">
        <v>13.6</v>
      </c>
      <c r="L21" s="12">
        <v>250</v>
      </c>
      <c r="M21" s="12">
        <v>315</v>
      </c>
      <c r="N21" s="13">
        <v>39</v>
      </c>
      <c r="O21" s="19">
        <v>252.4</v>
      </c>
      <c r="Q21" t="s">
        <v>823</v>
      </c>
    </row>
    <row r="22" spans="2:17" x14ac:dyDescent="0.2">
      <c r="B22" s="1" t="s">
        <v>139</v>
      </c>
      <c r="C22" t="s">
        <v>324</v>
      </c>
      <c r="D22" t="s">
        <v>326</v>
      </c>
      <c r="E22" s="1" t="s">
        <v>348</v>
      </c>
      <c r="H22" s="12" t="s">
        <v>14</v>
      </c>
      <c r="I22" s="11" t="s">
        <v>1405</v>
      </c>
      <c r="J22" s="12" t="s">
        <v>24</v>
      </c>
      <c r="K22" s="13">
        <v>14</v>
      </c>
      <c r="L22" s="12">
        <v>297</v>
      </c>
      <c r="M22" s="12">
        <v>360</v>
      </c>
      <c r="N22" s="13">
        <v>39</v>
      </c>
      <c r="O22" s="19">
        <v>303</v>
      </c>
      <c r="Q22" t="s">
        <v>824</v>
      </c>
    </row>
    <row r="23" spans="2:17" x14ac:dyDescent="0.2">
      <c r="B23" s="1" t="s">
        <v>140</v>
      </c>
      <c r="C23" t="s">
        <v>324</v>
      </c>
      <c r="D23" t="s">
        <v>326</v>
      </c>
      <c r="E23" s="1" t="s">
        <v>349</v>
      </c>
      <c r="H23" s="12" t="s">
        <v>166</v>
      </c>
      <c r="I23" s="11" t="s">
        <v>1406</v>
      </c>
      <c r="J23" s="12" t="s">
        <v>24</v>
      </c>
      <c r="K23" s="13">
        <v>15.2</v>
      </c>
      <c r="L23" s="12">
        <v>301</v>
      </c>
      <c r="M23" s="12">
        <v>425</v>
      </c>
      <c r="N23" s="13">
        <v>39</v>
      </c>
      <c r="O23" s="19">
        <v>339.15</v>
      </c>
      <c r="Q23" t="s">
        <v>825</v>
      </c>
    </row>
    <row r="24" spans="2:17" x14ac:dyDescent="0.2">
      <c r="B24" s="1" t="s">
        <v>141</v>
      </c>
      <c r="C24" t="s">
        <v>324</v>
      </c>
      <c r="D24" t="s">
        <v>326</v>
      </c>
      <c r="E24" s="1" t="s">
        <v>350</v>
      </c>
      <c r="H24" s="12" t="s">
        <v>648</v>
      </c>
      <c r="I24" s="11" t="s">
        <v>1407</v>
      </c>
      <c r="J24" s="12" t="s">
        <v>24</v>
      </c>
      <c r="K24" s="13">
        <v>15.7</v>
      </c>
      <c r="L24" s="12">
        <v>320</v>
      </c>
      <c r="M24" s="12">
        <v>445</v>
      </c>
      <c r="N24" s="13">
        <v>39</v>
      </c>
      <c r="O24" s="19">
        <v>400</v>
      </c>
      <c r="Q24" t="s">
        <v>826</v>
      </c>
    </row>
    <row r="25" spans="2:17" x14ac:dyDescent="0.2">
      <c r="B25" s="1" t="s">
        <v>142</v>
      </c>
      <c r="C25" t="s">
        <v>324</v>
      </c>
      <c r="D25" t="s">
        <v>326</v>
      </c>
      <c r="E25" s="1" t="s">
        <v>351</v>
      </c>
      <c r="H25" s="12" t="s">
        <v>16</v>
      </c>
      <c r="I25" s="11" t="s">
        <v>1408</v>
      </c>
      <c r="J25" s="12" t="s">
        <v>24</v>
      </c>
      <c r="K25" s="13">
        <v>16.5</v>
      </c>
      <c r="L25" s="12">
        <v>343</v>
      </c>
      <c r="M25" s="12">
        <v>475</v>
      </c>
      <c r="N25" s="13">
        <v>39</v>
      </c>
      <c r="O25" s="19">
        <v>459</v>
      </c>
      <c r="Q25" t="s">
        <v>827</v>
      </c>
    </row>
    <row r="26" spans="2:17" x14ac:dyDescent="0.2">
      <c r="B26" s="1" t="s">
        <v>143</v>
      </c>
      <c r="C26" t="s">
        <v>324</v>
      </c>
      <c r="D26" t="s">
        <v>326</v>
      </c>
      <c r="E26" s="1" t="s">
        <v>352</v>
      </c>
      <c r="H26" s="12" t="s">
        <v>18</v>
      </c>
      <c r="I26" s="11" t="s">
        <v>1409</v>
      </c>
      <c r="J26" s="12" t="s">
        <v>24</v>
      </c>
      <c r="K26" s="13">
        <v>18.399999999999999</v>
      </c>
      <c r="L26" s="12">
        <v>407</v>
      </c>
      <c r="M26" s="12">
        <v>575</v>
      </c>
      <c r="N26" s="13">
        <v>39</v>
      </c>
      <c r="O26" s="19">
        <v>540.5</v>
      </c>
      <c r="Q26" t="s">
        <v>828</v>
      </c>
    </row>
    <row r="27" spans="2:17" ht="3.6" customHeight="1" x14ac:dyDescent="0.2">
      <c r="B27"/>
      <c r="C27" s="1"/>
      <c r="E27"/>
      <c r="F27"/>
      <c r="G27"/>
      <c r="H27" s="15"/>
      <c r="I27" s="16"/>
      <c r="J27" s="15"/>
      <c r="K27" s="17"/>
      <c r="L27" s="15"/>
      <c r="M27" s="15"/>
      <c r="N27" s="17"/>
      <c r="O27" s="17"/>
    </row>
    <row r="28" spans="2:17" x14ac:dyDescent="0.2">
      <c r="B28" s="1" t="s">
        <v>145</v>
      </c>
      <c r="C28" t="s">
        <v>324</v>
      </c>
      <c r="D28" t="s">
        <v>326</v>
      </c>
      <c r="E28" s="1" t="s">
        <v>354</v>
      </c>
      <c r="H28" s="12" t="s">
        <v>25</v>
      </c>
      <c r="I28" s="11" t="s">
        <v>1410</v>
      </c>
      <c r="J28" s="12" t="s">
        <v>52</v>
      </c>
      <c r="K28" s="13">
        <v>6.2</v>
      </c>
      <c r="L28" s="12">
        <v>49</v>
      </c>
      <c r="M28" s="12">
        <v>65</v>
      </c>
      <c r="N28" s="13">
        <v>26</v>
      </c>
      <c r="O28" s="19">
        <v>52.58</v>
      </c>
      <c r="Q28" t="s">
        <v>829</v>
      </c>
    </row>
    <row r="29" spans="2:17" x14ac:dyDescent="0.2">
      <c r="B29" s="1" t="s">
        <v>146</v>
      </c>
      <c r="C29" t="s">
        <v>324</v>
      </c>
      <c r="D29" t="s">
        <v>326</v>
      </c>
      <c r="E29" s="1" t="s">
        <v>355</v>
      </c>
      <c r="H29" s="12" t="s">
        <v>26</v>
      </c>
      <c r="I29" s="11" t="s">
        <v>1411</v>
      </c>
      <c r="J29" s="12" t="s">
        <v>52</v>
      </c>
      <c r="K29" s="13">
        <v>6.7</v>
      </c>
      <c r="L29" s="12">
        <v>57</v>
      </c>
      <c r="M29" s="12">
        <v>80</v>
      </c>
      <c r="N29" s="13">
        <v>26</v>
      </c>
      <c r="O29" s="19">
        <v>64.599999999999994</v>
      </c>
      <c r="Q29" t="s">
        <v>830</v>
      </c>
    </row>
    <row r="30" spans="2:17" x14ac:dyDescent="0.2">
      <c r="B30" s="1" t="s">
        <v>147</v>
      </c>
      <c r="C30" t="s">
        <v>324</v>
      </c>
      <c r="D30" t="s">
        <v>326</v>
      </c>
      <c r="E30" s="1" t="s">
        <v>356</v>
      </c>
      <c r="H30" s="12" t="s">
        <v>27</v>
      </c>
      <c r="I30" s="11" t="s">
        <v>1412</v>
      </c>
      <c r="J30" s="12" t="s">
        <v>52</v>
      </c>
      <c r="K30" s="13">
        <v>7.4</v>
      </c>
      <c r="L30" s="12">
        <v>70</v>
      </c>
      <c r="M30" s="12">
        <v>95</v>
      </c>
      <c r="N30" s="13">
        <v>26</v>
      </c>
      <c r="O30" s="19">
        <v>85.53</v>
      </c>
      <c r="Q30" t="s">
        <v>831</v>
      </c>
    </row>
    <row r="31" spans="2:17" x14ac:dyDescent="0.2">
      <c r="B31" s="1" t="s">
        <v>148</v>
      </c>
      <c r="C31" t="s">
        <v>324</v>
      </c>
      <c r="D31" t="s">
        <v>326</v>
      </c>
      <c r="E31" s="1" t="s">
        <v>357</v>
      </c>
      <c r="H31" s="12" t="s">
        <v>28</v>
      </c>
      <c r="I31" s="11" t="s">
        <v>1413</v>
      </c>
      <c r="J31" s="12" t="s">
        <v>52</v>
      </c>
      <c r="K31" s="13">
        <v>8</v>
      </c>
      <c r="L31" s="12">
        <v>78</v>
      </c>
      <c r="M31" s="12">
        <v>115</v>
      </c>
      <c r="N31" s="13">
        <v>26</v>
      </c>
      <c r="O31" s="19">
        <v>99.9</v>
      </c>
      <c r="Q31" t="s">
        <v>832</v>
      </c>
    </row>
    <row r="32" spans="2:17" x14ac:dyDescent="0.2">
      <c r="B32" s="1" t="s">
        <v>94</v>
      </c>
      <c r="C32" t="s">
        <v>323</v>
      </c>
      <c r="D32" t="s">
        <v>325</v>
      </c>
      <c r="E32" s="1" t="s">
        <v>328</v>
      </c>
      <c r="H32" s="12" t="s">
        <v>29</v>
      </c>
      <c r="I32" s="11" t="s">
        <v>1414</v>
      </c>
      <c r="J32" s="12" t="s">
        <v>52</v>
      </c>
      <c r="K32" s="13">
        <v>8.6</v>
      </c>
      <c r="L32" s="12">
        <v>98</v>
      </c>
      <c r="M32" s="12">
        <v>130</v>
      </c>
      <c r="N32" s="13">
        <v>26</v>
      </c>
      <c r="O32" s="19">
        <v>109.24</v>
      </c>
      <c r="Q32" t="s">
        <v>833</v>
      </c>
    </row>
    <row r="33" spans="2:17" x14ac:dyDescent="0.2">
      <c r="B33" s="1" t="s">
        <v>95</v>
      </c>
      <c r="C33" t="s">
        <v>324</v>
      </c>
      <c r="D33" t="s">
        <v>326</v>
      </c>
      <c r="E33" s="1" t="s">
        <v>358</v>
      </c>
      <c r="H33" s="12" t="s">
        <v>30</v>
      </c>
      <c r="I33" s="11" t="s">
        <v>1415</v>
      </c>
      <c r="J33" s="12" t="s">
        <v>52</v>
      </c>
      <c r="K33" s="13">
        <v>9.1999999999999993</v>
      </c>
      <c r="L33" s="12">
        <v>106</v>
      </c>
      <c r="M33" s="12">
        <v>145</v>
      </c>
      <c r="N33" s="13">
        <v>26</v>
      </c>
      <c r="O33" s="19">
        <v>121</v>
      </c>
      <c r="Q33" t="s">
        <v>834</v>
      </c>
    </row>
    <row r="34" spans="2:17" x14ac:dyDescent="0.2">
      <c r="B34" s="1" t="s">
        <v>96</v>
      </c>
      <c r="C34" t="s">
        <v>324</v>
      </c>
      <c r="D34" t="s">
        <v>326</v>
      </c>
      <c r="E34" s="1" t="s">
        <v>359</v>
      </c>
      <c r="H34" s="12" t="s">
        <v>32</v>
      </c>
      <c r="I34" s="11" t="s">
        <v>1416</v>
      </c>
      <c r="J34" s="12" t="s">
        <v>52</v>
      </c>
      <c r="K34" s="13">
        <v>10.3</v>
      </c>
      <c r="L34" s="12">
        <v>140</v>
      </c>
      <c r="M34" s="12">
        <v>180</v>
      </c>
      <c r="N34" s="13">
        <v>26</v>
      </c>
      <c r="O34" s="19">
        <v>149.97999999999999</v>
      </c>
      <c r="Q34" t="s">
        <v>835</v>
      </c>
    </row>
    <row r="35" spans="2:17" x14ac:dyDescent="0.2">
      <c r="B35" s="1" t="s">
        <v>97</v>
      </c>
      <c r="C35" t="s">
        <v>324</v>
      </c>
      <c r="D35" t="s">
        <v>326</v>
      </c>
      <c r="E35" s="1" t="s">
        <v>360</v>
      </c>
      <c r="H35" s="12" t="s">
        <v>33</v>
      </c>
      <c r="I35" s="11" t="s">
        <v>1417</v>
      </c>
      <c r="J35" s="12" t="s">
        <v>52</v>
      </c>
      <c r="K35" s="13">
        <v>10.7</v>
      </c>
      <c r="L35" s="12">
        <v>151</v>
      </c>
      <c r="M35" s="12">
        <v>205</v>
      </c>
      <c r="N35" s="13">
        <v>26</v>
      </c>
      <c r="O35" s="19">
        <v>168.18</v>
      </c>
      <c r="Q35" t="s">
        <v>836</v>
      </c>
    </row>
    <row r="36" spans="2:17" x14ac:dyDescent="0.2">
      <c r="B36" s="1" t="s">
        <v>98</v>
      </c>
      <c r="C36" t="s">
        <v>324</v>
      </c>
      <c r="D36" t="s">
        <v>326</v>
      </c>
      <c r="E36" s="1" t="s">
        <v>361</v>
      </c>
      <c r="H36" s="12" t="s">
        <v>34</v>
      </c>
      <c r="I36" s="11" t="s">
        <v>1418</v>
      </c>
      <c r="J36" s="12" t="s">
        <v>52</v>
      </c>
      <c r="K36" s="13">
        <v>11.4</v>
      </c>
      <c r="L36" s="12">
        <v>162</v>
      </c>
      <c r="M36" s="12">
        <v>225</v>
      </c>
      <c r="N36" s="13">
        <v>26</v>
      </c>
      <c r="O36" s="19">
        <v>204.55</v>
      </c>
      <c r="Q36" t="s">
        <v>837</v>
      </c>
    </row>
    <row r="37" spans="2:17" x14ac:dyDescent="0.2">
      <c r="B37" s="1" t="s">
        <v>99</v>
      </c>
      <c r="C37" t="s">
        <v>324</v>
      </c>
      <c r="D37" t="s">
        <v>326</v>
      </c>
      <c r="E37" s="1" t="s">
        <v>362</v>
      </c>
      <c r="H37" s="12" t="s">
        <v>168</v>
      </c>
      <c r="I37" s="11" t="s">
        <v>1419</v>
      </c>
      <c r="J37" s="12" t="s">
        <v>52</v>
      </c>
      <c r="K37" s="13">
        <v>12</v>
      </c>
      <c r="L37" s="12">
        <v>172</v>
      </c>
      <c r="M37" s="12">
        <v>275</v>
      </c>
      <c r="N37" s="13">
        <v>26</v>
      </c>
      <c r="O37" s="19">
        <v>229</v>
      </c>
      <c r="Q37" t="s">
        <v>838</v>
      </c>
    </row>
    <row r="38" spans="2:17" x14ac:dyDescent="0.2">
      <c r="B38" s="1" t="s">
        <v>100</v>
      </c>
      <c r="C38" t="s">
        <v>324</v>
      </c>
      <c r="D38" t="s">
        <v>326</v>
      </c>
      <c r="E38" s="1" t="s">
        <v>363</v>
      </c>
      <c r="H38" s="12" t="s">
        <v>35</v>
      </c>
      <c r="I38" s="11" t="s">
        <v>1420</v>
      </c>
      <c r="J38" s="12" t="s">
        <v>52</v>
      </c>
      <c r="K38" s="13">
        <v>12.8</v>
      </c>
      <c r="L38" s="12">
        <v>207</v>
      </c>
      <c r="M38" s="12">
        <v>290</v>
      </c>
      <c r="N38" s="13">
        <v>26</v>
      </c>
      <c r="O38" s="19">
        <v>257.11</v>
      </c>
      <c r="Q38" t="s">
        <v>839</v>
      </c>
    </row>
    <row r="39" spans="2:17" x14ac:dyDescent="0.2">
      <c r="B39" s="1" t="s">
        <v>101</v>
      </c>
      <c r="C39" t="s">
        <v>324</v>
      </c>
      <c r="D39" t="s">
        <v>326</v>
      </c>
      <c r="E39" s="1" t="s">
        <v>364</v>
      </c>
      <c r="H39" s="12" t="s">
        <v>36</v>
      </c>
      <c r="I39" s="11" t="s">
        <v>1421</v>
      </c>
      <c r="J39" s="12" t="s">
        <v>52</v>
      </c>
      <c r="K39" s="13">
        <v>13.4</v>
      </c>
      <c r="L39" s="12">
        <v>220</v>
      </c>
      <c r="M39" s="12">
        <v>320</v>
      </c>
      <c r="N39" s="13">
        <v>26</v>
      </c>
      <c r="O39" s="19">
        <v>279.60000000000002</v>
      </c>
      <c r="Q39" t="s">
        <v>840</v>
      </c>
    </row>
    <row r="40" spans="2:17" x14ac:dyDescent="0.2">
      <c r="B40" s="1" t="s">
        <v>102</v>
      </c>
      <c r="C40" t="s">
        <v>324</v>
      </c>
      <c r="D40" t="s">
        <v>326</v>
      </c>
      <c r="E40" s="1" t="s">
        <v>365</v>
      </c>
      <c r="H40" s="12" t="s">
        <v>649</v>
      </c>
      <c r="I40" s="11" t="s">
        <v>1422</v>
      </c>
      <c r="J40" s="12" t="s">
        <v>52</v>
      </c>
      <c r="K40" s="13">
        <v>15.5</v>
      </c>
      <c r="L40" s="12">
        <v>250</v>
      </c>
      <c r="M40" s="12">
        <v>415</v>
      </c>
      <c r="N40" s="13">
        <v>26</v>
      </c>
      <c r="O40" s="19">
        <f>O41/25*24</f>
        <v>351.8784</v>
      </c>
      <c r="Q40" t="s">
        <v>841</v>
      </c>
    </row>
    <row r="41" spans="2:17" x14ac:dyDescent="0.2">
      <c r="B41" s="1" t="s">
        <v>103</v>
      </c>
      <c r="C41" t="s">
        <v>324</v>
      </c>
      <c r="D41" t="s">
        <v>326</v>
      </c>
      <c r="E41" s="1" t="s">
        <v>366</v>
      </c>
      <c r="H41" s="12" t="s">
        <v>38</v>
      </c>
      <c r="I41" s="11" t="s">
        <v>1423</v>
      </c>
      <c r="J41" s="12" t="s">
        <v>52</v>
      </c>
      <c r="K41" s="13">
        <v>15.6</v>
      </c>
      <c r="L41" s="12">
        <v>271</v>
      </c>
      <c r="M41" s="12">
        <v>435</v>
      </c>
      <c r="N41" s="13">
        <v>26</v>
      </c>
      <c r="O41" s="19">
        <v>366.54</v>
      </c>
      <c r="Q41" t="s">
        <v>842</v>
      </c>
    </row>
    <row r="42" spans="2:17" x14ac:dyDescent="0.2">
      <c r="B42" s="1" t="s">
        <v>149</v>
      </c>
      <c r="C42" t="s">
        <v>324</v>
      </c>
      <c r="D42" t="s">
        <v>326</v>
      </c>
      <c r="E42" s="1" t="s">
        <v>367</v>
      </c>
      <c r="H42" s="12" t="s">
        <v>39</v>
      </c>
      <c r="I42" s="11" t="s">
        <v>1424</v>
      </c>
      <c r="J42" s="12" t="s">
        <v>52</v>
      </c>
      <c r="K42" s="13">
        <v>16.100000000000001</v>
      </c>
      <c r="L42" s="12">
        <v>297</v>
      </c>
      <c r="M42" s="12">
        <v>450</v>
      </c>
      <c r="N42" s="13">
        <v>26</v>
      </c>
      <c r="O42" s="19">
        <v>439</v>
      </c>
      <c r="Q42" t="s">
        <v>843</v>
      </c>
    </row>
    <row r="43" spans="2:17" x14ac:dyDescent="0.2">
      <c r="B43" s="1" t="s">
        <v>150</v>
      </c>
      <c r="C43" t="s">
        <v>324</v>
      </c>
      <c r="D43" t="s">
        <v>326</v>
      </c>
      <c r="E43" s="1" t="s">
        <v>368</v>
      </c>
      <c r="H43" s="12" t="s">
        <v>41</v>
      </c>
      <c r="I43" s="11" t="s">
        <v>1425</v>
      </c>
      <c r="J43" s="12" t="s">
        <v>52</v>
      </c>
      <c r="K43" s="13">
        <v>16.600000000000001</v>
      </c>
      <c r="L43" s="12">
        <v>330</v>
      </c>
      <c r="M43" s="12">
        <v>485</v>
      </c>
      <c r="N43" s="13">
        <v>26</v>
      </c>
      <c r="O43" s="19">
        <v>491.93</v>
      </c>
      <c r="Q43" t="s">
        <v>844</v>
      </c>
    </row>
    <row r="44" spans="2:17" x14ac:dyDescent="0.2">
      <c r="B44" s="1" t="s">
        <v>151</v>
      </c>
      <c r="C44" t="s">
        <v>324</v>
      </c>
      <c r="D44" t="s">
        <v>326</v>
      </c>
      <c r="E44" s="1" t="s">
        <v>369</v>
      </c>
      <c r="H44" s="12" t="s">
        <v>42</v>
      </c>
      <c r="I44" s="11" t="s">
        <v>1426</v>
      </c>
      <c r="J44" s="12" t="s">
        <v>52</v>
      </c>
      <c r="K44" s="13">
        <v>17.2</v>
      </c>
      <c r="L44" s="12">
        <v>370</v>
      </c>
      <c r="M44" s="12">
        <v>535</v>
      </c>
      <c r="N44" s="13">
        <v>26</v>
      </c>
      <c r="O44" s="19">
        <v>498</v>
      </c>
      <c r="Q44" t="s">
        <v>845</v>
      </c>
    </row>
    <row r="45" spans="2:17" x14ac:dyDescent="0.2">
      <c r="B45" s="1" t="s">
        <v>152</v>
      </c>
      <c r="C45" t="s">
        <v>324</v>
      </c>
      <c r="D45" t="s">
        <v>326</v>
      </c>
      <c r="E45" s="1" t="s">
        <v>370</v>
      </c>
      <c r="H45" s="12" t="s">
        <v>46</v>
      </c>
      <c r="I45" s="11" t="s">
        <v>1427</v>
      </c>
      <c r="J45" s="12" t="s">
        <v>52</v>
      </c>
      <c r="K45" s="13">
        <v>18.8</v>
      </c>
      <c r="L45" s="12">
        <v>430</v>
      </c>
      <c r="M45" s="12">
        <v>610</v>
      </c>
      <c r="N45" s="13">
        <v>26</v>
      </c>
      <c r="O45" s="19">
        <f>O46/50*42</f>
        <v>575.4</v>
      </c>
      <c r="Q45" t="s">
        <v>846</v>
      </c>
    </row>
    <row r="46" spans="2:17" x14ac:dyDescent="0.2">
      <c r="B46" s="1" t="s">
        <v>153</v>
      </c>
      <c r="C46" t="s">
        <v>324</v>
      </c>
      <c r="D46" t="s">
        <v>326</v>
      </c>
      <c r="E46" s="1" t="s">
        <v>371</v>
      </c>
      <c r="H46" s="12" t="s">
        <v>47</v>
      </c>
      <c r="I46" s="11" t="s">
        <v>1428</v>
      </c>
      <c r="J46" s="12" t="s">
        <v>52</v>
      </c>
      <c r="K46" s="13">
        <v>20.8</v>
      </c>
      <c r="L46" s="12">
        <v>480</v>
      </c>
      <c r="M46" s="12">
        <v>775</v>
      </c>
      <c r="N46" s="13">
        <v>26</v>
      </c>
      <c r="O46" s="19">
        <v>685</v>
      </c>
      <c r="Q46" t="s">
        <v>847</v>
      </c>
    </row>
    <row r="47" spans="2:17" ht="3.6" customHeight="1" x14ac:dyDescent="0.2">
      <c r="B47"/>
      <c r="C47" s="1"/>
      <c r="E47"/>
      <c r="F47"/>
      <c r="G47"/>
      <c r="H47" s="15"/>
      <c r="I47" s="16"/>
      <c r="J47" s="15"/>
      <c r="K47" s="17"/>
      <c r="L47" s="15"/>
      <c r="M47" s="15"/>
      <c r="N47" s="17"/>
      <c r="O47" s="20"/>
    </row>
    <row r="48" spans="2:17" x14ac:dyDescent="0.2">
      <c r="B48" s="1" t="s">
        <v>154</v>
      </c>
      <c r="C48" t="s">
        <v>324</v>
      </c>
      <c r="D48" t="s">
        <v>326</v>
      </c>
      <c r="E48" s="1" t="s">
        <v>372</v>
      </c>
      <c r="H48" s="12" t="s">
        <v>204</v>
      </c>
      <c r="I48" s="11" t="s">
        <v>1429</v>
      </c>
      <c r="J48" s="12" t="s">
        <v>84</v>
      </c>
      <c r="K48" s="13">
        <v>6.7</v>
      </c>
      <c r="L48" s="12">
        <v>55</v>
      </c>
      <c r="M48" s="12">
        <v>65</v>
      </c>
      <c r="N48" s="13">
        <v>19.5</v>
      </c>
      <c r="O48" s="19">
        <v>52</v>
      </c>
      <c r="Q48" t="s">
        <v>848</v>
      </c>
    </row>
    <row r="49" spans="2:17" x14ac:dyDescent="0.2">
      <c r="B49" s="1" t="s">
        <v>155</v>
      </c>
      <c r="C49" t="s">
        <v>324</v>
      </c>
      <c r="D49" t="s">
        <v>326</v>
      </c>
      <c r="E49" s="1" t="s">
        <v>373</v>
      </c>
      <c r="H49" s="12" t="s">
        <v>53</v>
      </c>
      <c r="I49" s="11" t="s">
        <v>1430</v>
      </c>
      <c r="J49" s="12" t="s">
        <v>84</v>
      </c>
      <c r="K49" s="13">
        <v>7</v>
      </c>
      <c r="L49" s="12">
        <v>70</v>
      </c>
      <c r="M49" s="12">
        <v>80</v>
      </c>
      <c r="N49" s="13">
        <v>19.5</v>
      </c>
      <c r="O49" s="19">
        <v>63.53</v>
      </c>
      <c r="Q49" t="s">
        <v>849</v>
      </c>
    </row>
    <row r="50" spans="2:17" x14ac:dyDescent="0.2">
      <c r="B50" s="1" t="s">
        <v>156</v>
      </c>
      <c r="C50" t="s">
        <v>324</v>
      </c>
      <c r="D50" t="s">
        <v>326</v>
      </c>
      <c r="E50" s="1" t="s">
        <v>374</v>
      </c>
      <c r="H50" s="12" t="s">
        <v>54</v>
      </c>
      <c r="I50" s="11" t="s">
        <v>1431</v>
      </c>
      <c r="J50" s="12" t="s">
        <v>84</v>
      </c>
      <c r="K50" s="13">
        <v>7.1</v>
      </c>
      <c r="L50" s="12">
        <v>80</v>
      </c>
      <c r="M50" s="12">
        <v>100</v>
      </c>
      <c r="N50" s="13">
        <v>19.5</v>
      </c>
      <c r="O50" s="19">
        <v>76.84</v>
      </c>
      <c r="Q50" t="s">
        <v>850</v>
      </c>
    </row>
    <row r="51" spans="2:17" x14ac:dyDescent="0.2">
      <c r="B51" s="1" t="s">
        <v>157</v>
      </c>
      <c r="C51" t="s">
        <v>324</v>
      </c>
      <c r="D51" t="s">
        <v>326</v>
      </c>
      <c r="E51" s="1" t="s">
        <v>375</v>
      </c>
      <c r="H51" s="12" t="s">
        <v>55</v>
      </c>
      <c r="I51" s="11" t="s">
        <v>1432</v>
      </c>
      <c r="J51" s="12" t="s">
        <v>84</v>
      </c>
      <c r="K51" s="13">
        <v>8.5</v>
      </c>
      <c r="L51" s="12">
        <v>95</v>
      </c>
      <c r="M51" s="12">
        <v>130</v>
      </c>
      <c r="N51" s="13">
        <v>19.5</v>
      </c>
      <c r="O51" s="19">
        <v>101.2</v>
      </c>
      <c r="Q51" t="s">
        <v>851</v>
      </c>
    </row>
    <row r="52" spans="2:17" x14ac:dyDescent="0.2">
      <c r="B52" s="1" t="s">
        <v>158</v>
      </c>
      <c r="C52" t="s">
        <v>324</v>
      </c>
      <c r="D52" t="s">
        <v>326</v>
      </c>
      <c r="E52" s="1" t="s">
        <v>376</v>
      </c>
      <c r="H52" s="12" t="s">
        <v>56</v>
      </c>
      <c r="I52" s="11" t="s">
        <v>1433</v>
      </c>
      <c r="J52" s="12" t="s">
        <v>84</v>
      </c>
      <c r="K52" s="13">
        <v>9.1</v>
      </c>
      <c r="L52" s="12">
        <v>105</v>
      </c>
      <c r="M52" s="12">
        <v>145</v>
      </c>
      <c r="N52" s="13">
        <v>19.5</v>
      </c>
      <c r="O52" s="19">
        <v>116</v>
      </c>
      <c r="Q52" t="s">
        <v>852</v>
      </c>
    </row>
    <row r="53" spans="2:17" x14ac:dyDescent="0.2">
      <c r="B53" s="1" t="s">
        <v>159</v>
      </c>
      <c r="C53" t="s">
        <v>324</v>
      </c>
      <c r="D53" t="s">
        <v>326</v>
      </c>
      <c r="E53" s="1" t="s">
        <v>377</v>
      </c>
      <c r="H53" s="12" t="s">
        <v>57</v>
      </c>
      <c r="I53" s="11" t="s">
        <v>1434</v>
      </c>
      <c r="J53" s="12" t="s">
        <v>84</v>
      </c>
      <c r="K53" s="13">
        <v>9.6999999999999993</v>
      </c>
      <c r="L53" s="12">
        <v>120</v>
      </c>
      <c r="M53" s="12">
        <v>160</v>
      </c>
      <c r="N53" s="13">
        <v>19.5</v>
      </c>
      <c r="O53" s="19">
        <v>129.18</v>
      </c>
      <c r="Q53" t="s">
        <v>853</v>
      </c>
    </row>
    <row r="54" spans="2:17" x14ac:dyDescent="0.2">
      <c r="B54" s="1" t="s">
        <v>160</v>
      </c>
      <c r="C54" t="s">
        <v>324</v>
      </c>
      <c r="D54" t="s">
        <v>326</v>
      </c>
      <c r="E54" s="1" t="s">
        <v>378</v>
      </c>
      <c r="H54" s="12" t="s">
        <v>58</v>
      </c>
      <c r="I54" s="11" t="s">
        <v>1435</v>
      </c>
      <c r="J54" s="12" t="s">
        <v>84</v>
      </c>
      <c r="K54" s="13">
        <v>11</v>
      </c>
      <c r="L54" s="12">
        <v>130</v>
      </c>
      <c r="M54" s="12">
        <v>200</v>
      </c>
      <c r="N54" s="13">
        <v>19.5</v>
      </c>
      <c r="O54" s="19">
        <v>168</v>
      </c>
      <c r="Q54" t="s">
        <v>854</v>
      </c>
    </row>
    <row r="55" spans="2:17" x14ac:dyDescent="0.2">
      <c r="B55" s="1" t="s">
        <v>161</v>
      </c>
      <c r="C55" t="s">
        <v>324</v>
      </c>
      <c r="D55" t="s">
        <v>326</v>
      </c>
      <c r="E55" s="1" t="s">
        <v>379</v>
      </c>
      <c r="H55" s="12" t="s">
        <v>60</v>
      </c>
      <c r="I55" s="11" t="s">
        <v>1436</v>
      </c>
      <c r="J55" s="12" t="s">
        <v>84</v>
      </c>
      <c r="K55" s="13">
        <v>12</v>
      </c>
      <c r="L55" s="12">
        <v>138</v>
      </c>
      <c r="M55" s="12">
        <v>230</v>
      </c>
      <c r="N55" s="13">
        <v>19.5</v>
      </c>
      <c r="O55" s="19">
        <v>183.11</v>
      </c>
      <c r="Q55" t="s">
        <v>855</v>
      </c>
    </row>
    <row r="56" spans="2:17" x14ac:dyDescent="0.2">
      <c r="B56" s="1" t="s">
        <v>162</v>
      </c>
      <c r="C56" t="s">
        <v>324</v>
      </c>
      <c r="D56" t="s">
        <v>326</v>
      </c>
      <c r="E56" s="1" t="s">
        <v>380</v>
      </c>
      <c r="H56" s="12" t="s">
        <v>61</v>
      </c>
      <c r="I56" s="11" t="s">
        <v>1437</v>
      </c>
      <c r="J56" s="12" t="s">
        <v>84</v>
      </c>
      <c r="K56" s="13">
        <v>12.4</v>
      </c>
      <c r="L56" s="12">
        <v>186</v>
      </c>
      <c r="M56" s="12">
        <v>260</v>
      </c>
      <c r="N56" s="13">
        <v>19.5</v>
      </c>
      <c r="O56" s="19">
        <v>282.52999999999997</v>
      </c>
      <c r="Q56" t="s">
        <v>856</v>
      </c>
    </row>
    <row r="57" spans="2:17" x14ac:dyDescent="0.2">
      <c r="B57" s="1" t="s">
        <v>163</v>
      </c>
      <c r="C57" t="s">
        <v>324</v>
      </c>
      <c r="D57" t="s">
        <v>326</v>
      </c>
      <c r="E57" s="1" t="s">
        <v>381</v>
      </c>
      <c r="H57" s="12" t="s">
        <v>62</v>
      </c>
      <c r="I57" s="11" t="s">
        <v>1438</v>
      </c>
      <c r="J57" s="12" t="s">
        <v>84</v>
      </c>
      <c r="K57" s="13">
        <v>13</v>
      </c>
      <c r="L57" s="12">
        <v>198</v>
      </c>
      <c r="M57" s="12">
        <v>300</v>
      </c>
      <c r="N57" s="13">
        <v>19.5</v>
      </c>
      <c r="O57" s="19">
        <v>233</v>
      </c>
      <c r="Q57" t="s">
        <v>857</v>
      </c>
    </row>
    <row r="58" spans="2:17" x14ac:dyDescent="0.2">
      <c r="B58" s="1" t="s">
        <v>173</v>
      </c>
      <c r="C58" t="s">
        <v>324</v>
      </c>
      <c r="D58" t="s">
        <v>326</v>
      </c>
      <c r="E58" s="1" t="s">
        <v>382</v>
      </c>
      <c r="H58" s="12" t="s">
        <v>63</v>
      </c>
      <c r="I58" s="11" t="s">
        <v>1439</v>
      </c>
      <c r="J58" s="12" t="s">
        <v>84</v>
      </c>
      <c r="K58" s="13">
        <v>13.9</v>
      </c>
      <c r="L58" s="12">
        <v>203</v>
      </c>
      <c r="M58" s="12">
        <v>345</v>
      </c>
      <c r="N58" s="13">
        <v>19.5</v>
      </c>
      <c r="O58" s="19">
        <v>282</v>
      </c>
      <c r="Q58" t="s">
        <v>858</v>
      </c>
    </row>
    <row r="59" spans="2:17" x14ac:dyDescent="0.2">
      <c r="B59" s="1" t="s">
        <v>174</v>
      </c>
      <c r="C59" t="s">
        <v>324</v>
      </c>
      <c r="D59" t="s">
        <v>326</v>
      </c>
      <c r="E59" s="1" t="s">
        <v>383</v>
      </c>
      <c r="H59" s="12" t="s">
        <v>64</v>
      </c>
      <c r="I59" s="11" t="s">
        <v>1440</v>
      </c>
      <c r="J59" s="12" t="s">
        <v>84</v>
      </c>
      <c r="K59" s="13">
        <v>14.5</v>
      </c>
      <c r="L59" s="12">
        <v>245</v>
      </c>
      <c r="M59" s="12">
        <v>380</v>
      </c>
      <c r="N59" s="13">
        <v>19.5</v>
      </c>
      <c r="O59" s="19">
        <v>308.52999999999997</v>
      </c>
      <c r="Q59" t="s">
        <v>859</v>
      </c>
    </row>
    <row r="60" spans="2:17" x14ac:dyDescent="0.2">
      <c r="B60" s="1" t="s">
        <v>175</v>
      </c>
      <c r="C60" t="s">
        <v>324</v>
      </c>
      <c r="D60" t="s">
        <v>326</v>
      </c>
      <c r="E60" s="1" t="s">
        <v>384</v>
      </c>
      <c r="H60" s="12" t="s">
        <v>66</v>
      </c>
      <c r="I60" s="11" t="s">
        <v>1441</v>
      </c>
      <c r="J60" s="12" t="s">
        <v>84</v>
      </c>
      <c r="K60" s="13">
        <v>15.8</v>
      </c>
      <c r="L60" s="12">
        <v>286</v>
      </c>
      <c r="M60" s="12">
        <v>440</v>
      </c>
      <c r="N60" s="13">
        <v>19.5</v>
      </c>
      <c r="O60" s="19">
        <v>338.1</v>
      </c>
      <c r="Q60" t="s">
        <v>860</v>
      </c>
    </row>
    <row r="61" spans="2:17" x14ac:dyDescent="0.2">
      <c r="B61" s="1" t="s">
        <v>176</v>
      </c>
      <c r="C61" t="s">
        <v>324</v>
      </c>
      <c r="D61" t="s">
        <v>326</v>
      </c>
      <c r="E61" s="1" t="s">
        <v>385</v>
      </c>
      <c r="H61" s="12" t="s">
        <v>68</v>
      </c>
      <c r="I61" s="11" t="s">
        <v>1442</v>
      </c>
      <c r="J61" s="12" t="s">
        <v>84</v>
      </c>
      <c r="K61" s="13">
        <v>16.2</v>
      </c>
      <c r="L61" s="12">
        <v>345</v>
      </c>
      <c r="M61" s="12">
        <v>495</v>
      </c>
      <c r="N61" s="13">
        <v>19.5</v>
      </c>
      <c r="O61" s="19">
        <v>388</v>
      </c>
      <c r="Q61" t="s">
        <v>861</v>
      </c>
    </row>
    <row r="62" spans="2:17" x14ac:dyDescent="0.2">
      <c r="B62" s="1" t="s">
        <v>104</v>
      </c>
      <c r="C62" t="s">
        <v>323</v>
      </c>
      <c r="D62" t="s">
        <v>325</v>
      </c>
      <c r="E62" s="1" t="s">
        <v>329</v>
      </c>
      <c r="H62" s="12" t="s">
        <v>69</v>
      </c>
      <c r="I62" s="11" t="s">
        <v>1443</v>
      </c>
      <c r="J62" s="12" t="s">
        <v>84</v>
      </c>
      <c r="K62" s="13">
        <v>18</v>
      </c>
      <c r="L62" s="12">
        <v>360</v>
      </c>
      <c r="M62" s="12">
        <v>535</v>
      </c>
      <c r="N62" s="12">
        <v>19.5</v>
      </c>
      <c r="O62" s="19">
        <v>400.18</v>
      </c>
      <c r="Q62" t="s">
        <v>862</v>
      </c>
    </row>
    <row r="63" spans="2:17" x14ac:dyDescent="0.2">
      <c r="B63" s="1" t="s">
        <v>105</v>
      </c>
      <c r="C63" t="s">
        <v>324</v>
      </c>
      <c r="D63" t="s">
        <v>326</v>
      </c>
      <c r="E63" s="1" t="s">
        <v>386</v>
      </c>
      <c r="H63" s="12" t="s">
        <v>72</v>
      </c>
      <c r="I63" s="11" t="s">
        <v>1444</v>
      </c>
      <c r="J63" s="12" t="s">
        <v>84</v>
      </c>
      <c r="K63" s="13">
        <v>20.6</v>
      </c>
      <c r="L63" s="12">
        <v>440</v>
      </c>
      <c r="M63" s="12">
        <v>740</v>
      </c>
      <c r="N63" s="12">
        <v>19.5</v>
      </c>
      <c r="O63" s="19">
        <v>544.24</v>
      </c>
      <c r="Q63" t="s">
        <v>863</v>
      </c>
    </row>
    <row r="64" spans="2:17" x14ac:dyDescent="0.2">
      <c r="B64" s="1" t="s">
        <v>106</v>
      </c>
      <c r="C64" t="s">
        <v>324</v>
      </c>
      <c r="D64" t="s">
        <v>326</v>
      </c>
      <c r="E64" s="1" t="s">
        <v>387</v>
      </c>
      <c r="H64" s="12" t="s">
        <v>78</v>
      </c>
      <c r="I64" s="11" t="s">
        <v>1445</v>
      </c>
      <c r="J64" s="12" t="s">
        <v>84</v>
      </c>
      <c r="K64" s="13">
        <v>24.2</v>
      </c>
      <c r="L64" s="12">
        <v>626</v>
      </c>
      <c r="M64" s="12">
        <v>1025</v>
      </c>
      <c r="N64" s="12">
        <v>19.5</v>
      </c>
      <c r="O64" s="19">
        <v>923</v>
      </c>
      <c r="Q64" t="s">
        <v>864</v>
      </c>
    </row>
    <row r="65" spans="2:17" ht="3.6" customHeight="1" x14ac:dyDescent="0.2">
      <c r="B65"/>
      <c r="C65" s="1"/>
      <c r="E65"/>
      <c r="F65"/>
      <c r="G65"/>
      <c r="H65" s="15"/>
      <c r="I65" s="16"/>
      <c r="J65" s="15"/>
      <c r="K65" s="17"/>
      <c r="L65" s="15"/>
      <c r="M65" s="15"/>
      <c r="N65" s="17"/>
      <c r="O65" s="20"/>
    </row>
    <row r="66" spans="2:17" x14ac:dyDescent="0.2">
      <c r="B66" s="1" t="s">
        <v>107</v>
      </c>
      <c r="C66" t="s">
        <v>324</v>
      </c>
      <c r="D66" t="s">
        <v>326</v>
      </c>
      <c r="E66" s="1" t="s">
        <v>388</v>
      </c>
      <c r="H66" s="12" t="s">
        <v>205</v>
      </c>
      <c r="I66" s="11" t="s">
        <v>1446</v>
      </c>
      <c r="J66" s="12" t="s">
        <v>220</v>
      </c>
      <c r="K66" s="13">
        <v>7.3</v>
      </c>
      <c r="L66" s="12">
        <v>65</v>
      </c>
      <c r="M66" s="12">
        <v>90</v>
      </c>
      <c r="N66" s="12">
        <v>13.3</v>
      </c>
      <c r="O66" s="19">
        <v>67.33</v>
      </c>
      <c r="Q66" t="s">
        <v>865</v>
      </c>
    </row>
    <row r="67" spans="2:17" x14ac:dyDescent="0.2">
      <c r="B67" s="1" t="s">
        <v>108</v>
      </c>
      <c r="C67" t="s">
        <v>324</v>
      </c>
      <c r="D67" t="s">
        <v>326</v>
      </c>
      <c r="E67" s="1" t="s">
        <v>389</v>
      </c>
      <c r="H67" s="12" t="s">
        <v>206</v>
      </c>
      <c r="I67" s="11" t="s">
        <v>1447</v>
      </c>
      <c r="J67" s="12" t="s">
        <v>220</v>
      </c>
      <c r="K67" s="13">
        <v>7.7</v>
      </c>
      <c r="L67" s="12">
        <v>90</v>
      </c>
      <c r="M67" s="12">
        <v>100</v>
      </c>
      <c r="N67" s="12">
        <v>13.3</v>
      </c>
      <c r="O67" s="19">
        <v>83.44</v>
      </c>
      <c r="Q67" t="s">
        <v>866</v>
      </c>
    </row>
    <row r="68" spans="2:17" x14ac:dyDescent="0.2">
      <c r="B68" s="1" t="s">
        <v>109</v>
      </c>
      <c r="C68" t="s">
        <v>324</v>
      </c>
      <c r="D68" t="s">
        <v>326</v>
      </c>
      <c r="E68" s="1" t="s">
        <v>390</v>
      </c>
      <c r="H68" s="12" t="s">
        <v>207</v>
      </c>
      <c r="I68" s="11" t="s">
        <v>1448</v>
      </c>
      <c r="J68" s="12" t="s">
        <v>220</v>
      </c>
      <c r="K68" s="13">
        <v>8.3000000000000007</v>
      </c>
      <c r="L68" s="12">
        <v>110</v>
      </c>
      <c r="M68" s="12">
        <v>125</v>
      </c>
      <c r="N68" s="12">
        <v>13.3</v>
      </c>
      <c r="O68" s="19">
        <v>104.11</v>
      </c>
      <c r="Q68" t="s">
        <v>867</v>
      </c>
    </row>
    <row r="69" spans="2:17" x14ac:dyDescent="0.2">
      <c r="B69" s="1" t="s">
        <v>110</v>
      </c>
      <c r="C69" t="s">
        <v>324</v>
      </c>
      <c r="D69" t="s">
        <v>326</v>
      </c>
      <c r="E69" s="1" t="s">
        <v>391</v>
      </c>
      <c r="H69" s="12" t="s">
        <v>208</v>
      </c>
      <c r="I69" s="11" t="s">
        <v>1449</v>
      </c>
      <c r="J69" s="12" t="s">
        <v>220</v>
      </c>
      <c r="K69" s="13">
        <v>9.4</v>
      </c>
      <c r="L69" s="12">
        <v>125</v>
      </c>
      <c r="M69" s="12">
        <v>160</v>
      </c>
      <c r="N69" s="12">
        <v>13.3</v>
      </c>
      <c r="O69" s="19">
        <v>135.91</v>
      </c>
      <c r="Q69" t="s">
        <v>868</v>
      </c>
    </row>
    <row r="70" spans="2:17" x14ac:dyDescent="0.2">
      <c r="B70" s="1" t="s">
        <v>111</v>
      </c>
      <c r="C70" t="s">
        <v>324</v>
      </c>
      <c r="D70" t="s">
        <v>326</v>
      </c>
      <c r="E70" s="1" t="s">
        <v>392</v>
      </c>
      <c r="H70" s="12" t="s">
        <v>210</v>
      </c>
      <c r="I70" s="11" t="s">
        <v>1450</v>
      </c>
      <c r="J70" s="12" t="s">
        <v>220</v>
      </c>
      <c r="K70" s="13">
        <v>10.7</v>
      </c>
      <c r="L70" s="12">
        <v>159</v>
      </c>
      <c r="M70" s="12">
        <v>210</v>
      </c>
      <c r="N70" s="12">
        <v>13.3</v>
      </c>
      <c r="O70" s="19">
        <v>175.56</v>
      </c>
      <c r="Q70" t="s">
        <v>869</v>
      </c>
    </row>
    <row r="71" spans="2:17" x14ac:dyDescent="0.2">
      <c r="B71" s="1" t="s">
        <v>112</v>
      </c>
      <c r="C71" t="s">
        <v>324</v>
      </c>
      <c r="D71" t="s">
        <v>326</v>
      </c>
      <c r="E71" s="1" t="s">
        <v>393</v>
      </c>
      <c r="H71" s="12" t="s">
        <v>211</v>
      </c>
      <c r="I71" s="11" t="s">
        <v>1451</v>
      </c>
      <c r="J71" s="12" t="s">
        <v>220</v>
      </c>
      <c r="K71" s="13">
        <v>12</v>
      </c>
      <c r="L71" s="12">
        <v>172</v>
      </c>
      <c r="M71" s="12">
        <v>245</v>
      </c>
      <c r="N71" s="12">
        <v>13.3</v>
      </c>
      <c r="O71" s="19">
        <v>199</v>
      </c>
      <c r="Q71" t="s">
        <v>870</v>
      </c>
    </row>
    <row r="72" spans="2:17" x14ac:dyDescent="0.2">
      <c r="B72" s="1" t="s">
        <v>113</v>
      </c>
      <c r="C72" t="s">
        <v>324</v>
      </c>
      <c r="D72" t="s">
        <v>326</v>
      </c>
      <c r="E72" s="1" t="s">
        <v>394</v>
      </c>
      <c r="H72" s="12" t="s">
        <v>213</v>
      </c>
      <c r="I72" s="11" t="s">
        <v>1452</v>
      </c>
      <c r="J72" s="12" t="s">
        <v>220</v>
      </c>
      <c r="K72" s="13">
        <v>13.4</v>
      </c>
      <c r="L72" s="12">
        <v>193</v>
      </c>
      <c r="M72" s="12">
        <v>315</v>
      </c>
      <c r="N72" s="12">
        <v>13.3</v>
      </c>
      <c r="O72" s="19">
        <v>247.22</v>
      </c>
      <c r="Q72" t="s">
        <v>871</v>
      </c>
    </row>
    <row r="73" spans="2:17" x14ac:dyDescent="0.2">
      <c r="B73" s="1" t="s">
        <v>177</v>
      </c>
      <c r="C73" t="s">
        <v>324</v>
      </c>
      <c r="D73" t="s">
        <v>326</v>
      </c>
      <c r="E73" s="1" t="s">
        <v>395</v>
      </c>
      <c r="H73" s="12" t="s">
        <v>214</v>
      </c>
      <c r="I73" s="11" t="s">
        <v>1453</v>
      </c>
      <c r="J73" s="12" t="s">
        <v>220</v>
      </c>
      <c r="K73" s="13">
        <v>13.6</v>
      </c>
      <c r="L73" s="12">
        <v>254</v>
      </c>
      <c r="M73" s="12">
        <v>340</v>
      </c>
      <c r="N73" s="12">
        <v>13.3</v>
      </c>
      <c r="O73" s="19">
        <v>282.52999999999997</v>
      </c>
      <c r="Q73" t="s">
        <v>872</v>
      </c>
    </row>
    <row r="74" spans="2:17" x14ac:dyDescent="0.2">
      <c r="B74" s="1" t="s">
        <v>178</v>
      </c>
      <c r="C74" t="s">
        <v>324</v>
      </c>
      <c r="D74" t="s">
        <v>326</v>
      </c>
      <c r="E74" s="1" t="s">
        <v>396</v>
      </c>
      <c r="H74" s="12" t="s">
        <v>215</v>
      </c>
      <c r="I74" s="11" t="s">
        <v>1454</v>
      </c>
      <c r="J74" s="12" t="s">
        <v>220</v>
      </c>
      <c r="K74" s="13">
        <v>14.5</v>
      </c>
      <c r="L74" s="12">
        <v>310</v>
      </c>
      <c r="M74" s="12">
        <v>480</v>
      </c>
      <c r="N74" s="12">
        <v>13.3</v>
      </c>
      <c r="O74" s="19">
        <v>320</v>
      </c>
      <c r="Q74" t="s">
        <v>873</v>
      </c>
    </row>
    <row r="75" spans="2:17" x14ac:dyDescent="0.2">
      <c r="B75" s="1" t="s">
        <v>179</v>
      </c>
      <c r="C75" t="s">
        <v>324</v>
      </c>
      <c r="D75" t="s">
        <v>326</v>
      </c>
      <c r="E75" s="1" t="s">
        <v>397</v>
      </c>
      <c r="H75" s="12" t="s">
        <v>216</v>
      </c>
      <c r="I75" s="11" t="s">
        <v>1455</v>
      </c>
      <c r="J75" s="12" t="s">
        <v>220</v>
      </c>
      <c r="K75" s="13">
        <v>15.4</v>
      </c>
      <c r="L75" s="12">
        <v>342</v>
      </c>
      <c r="M75" s="12">
        <v>540</v>
      </c>
      <c r="N75" s="12">
        <v>13.3</v>
      </c>
      <c r="O75" s="19">
        <v>395</v>
      </c>
      <c r="Q75" t="s">
        <v>874</v>
      </c>
    </row>
    <row r="76" spans="2:17" x14ac:dyDescent="0.2">
      <c r="B76" s="1" t="s">
        <v>180</v>
      </c>
      <c r="C76" t="s">
        <v>324</v>
      </c>
      <c r="D76" t="s">
        <v>326</v>
      </c>
      <c r="E76" s="1" t="s">
        <v>398</v>
      </c>
      <c r="H76" s="12" t="s">
        <v>217</v>
      </c>
      <c r="I76" s="11" t="s">
        <v>1456</v>
      </c>
      <c r="J76" s="12" t="s">
        <v>220</v>
      </c>
      <c r="K76" s="13">
        <v>16.3</v>
      </c>
      <c r="L76" s="12">
        <v>367</v>
      </c>
      <c r="M76" s="12">
        <v>600</v>
      </c>
      <c r="N76" s="12">
        <v>13.3</v>
      </c>
      <c r="O76" s="19">
        <v>432.12</v>
      </c>
      <c r="Q76" t="s">
        <v>875</v>
      </c>
    </row>
    <row r="77" spans="2:17" x14ac:dyDescent="0.2">
      <c r="B77" s="1" t="s">
        <v>181</v>
      </c>
      <c r="C77" t="s">
        <v>324</v>
      </c>
      <c r="D77" t="s">
        <v>326</v>
      </c>
      <c r="E77" s="1" t="s">
        <v>399</v>
      </c>
      <c r="H77" s="12" t="s">
        <v>650</v>
      </c>
      <c r="I77" s="11" t="s">
        <v>1457</v>
      </c>
      <c r="J77" s="12" t="s">
        <v>220</v>
      </c>
      <c r="K77" s="13">
        <v>19.7</v>
      </c>
      <c r="L77" s="12">
        <v>448</v>
      </c>
      <c r="M77" s="12">
        <v>690</v>
      </c>
      <c r="N77" s="12">
        <v>13.3</v>
      </c>
      <c r="O77" s="19">
        <f>O78/25*24</f>
        <v>512.93759999999997</v>
      </c>
      <c r="Q77" t="s">
        <v>876</v>
      </c>
    </row>
    <row r="78" spans="2:17" x14ac:dyDescent="0.2">
      <c r="B78" s="1" t="s">
        <v>182</v>
      </c>
      <c r="C78" t="s">
        <v>324</v>
      </c>
      <c r="D78" t="s">
        <v>326</v>
      </c>
      <c r="E78" s="1" t="s">
        <v>400</v>
      </c>
      <c r="H78" s="12" t="s">
        <v>265</v>
      </c>
      <c r="I78" s="11" t="s">
        <v>1458</v>
      </c>
      <c r="J78" s="12" t="s">
        <v>220</v>
      </c>
      <c r="K78" s="13">
        <v>20.3</v>
      </c>
      <c r="L78" s="12">
        <v>492</v>
      </c>
      <c r="M78" s="12">
        <v>705</v>
      </c>
      <c r="N78" s="12">
        <v>13.3</v>
      </c>
      <c r="O78" s="19">
        <v>534.30999999999995</v>
      </c>
      <c r="Q78" t="s">
        <v>877</v>
      </c>
    </row>
    <row r="79" spans="2:17" x14ac:dyDescent="0.2">
      <c r="B79" s="1" t="s">
        <v>183</v>
      </c>
      <c r="C79" t="s">
        <v>324</v>
      </c>
      <c r="D79" t="s">
        <v>326</v>
      </c>
      <c r="E79" s="1" t="s">
        <v>401</v>
      </c>
      <c r="H79" s="12" t="s">
        <v>266</v>
      </c>
      <c r="I79" s="11" t="s">
        <v>1459</v>
      </c>
      <c r="J79" s="12" t="s">
        <v>220</v>
      </c>
      <c r="K79" s="13">
        <v>20.8</v>
      </c>
      <c r="L79" s="12">
        <v>555</v>
      </c>
      <c r="M79" s="12">
        <v>830</v>
      </c>
      <c r="N79" s="12">
        <v>13.3</v>
      </c>
      <c r="O79" s="19">
        <v>641.16999999999996</v>
      </c>
      <c r="Q79" t="s">
        <v>878</v>
      </c>
    </row>
    <row r="80" spans="2:17" x14ac:dyDescent="0.2">
      <c r="B80" s="1" t="s">
        <v>184</v>
      </c>
      <c r="C80" t="s">
        <v>324</v>
      </c>
      <c r="D80" t="s">
        <v>326</v>
      </c>
      <c r="E80" s="1" t="s">
        <v>402</v>
      </c>
      <c r="H80" s="12" t="s">
        <v>269</v>
      </c>
      <c r="I80" s="11" t="s">
        <v>1460</v>
      </c>
      <c r="J80" s="12" t="s">
        <v>220</v>
      </c>
      <c r="K80" s="13">
        <v>25.8</v>
      </c>
      <c r="L80" s="12">
        <v>782</v>
      </c>
      <c r="M80" s="12">
        <v>1060</v>
      </c>
      <c r="N80" s="12">
        <v>13.3</v>
      </c>
      <c r="O80" s="19">
        <v>978.5</v>
      </c>
      <c r="Q80" t="s">
        <v>879</v>
      </c>
    </row>
    <row r="81" spans="2:17" ht="3.6" customHeight="1" x14ac:dyDescent="0.2">
      <c r="B81"/>
      <c r="C81" s="1"/>
      <c r="E81"/>
      <c r="F81"/>
      <c r="G81"/>
      <c r="H81" s="15"/>
      <c r="I81" s="16"/>
      <c r="J81" s="15"/>
      <c r="K81" s="17"/>
      <c r="L81" s="15"/>
      <c r="M81" s="15"/>
      <c r="N81" s="17"/>
      <c r="O81" s="20"/>
    </row>
    <row r="82" spans="2:17" x14ac:dyDescent="0.2">
      <c r="B82" s="1" t="s">
        <v>185</v>
      </c>
      <c r="C82" t="s">
        <v>324</v>
      </c>
      <c r="D82" t="s">
        <v>326</v>
      </c>
      <c r="E82" s="1" t="s">
        <v>403</v>
      </c>
      <c r="H82" s="12" t="s">
        <v>276</v>
      </c>
      <c r="I82" s="11" t="s">
        <v>1461</v>
      </c>
      <c r="J82" s="12" t="s">
        <v>316</v>
      </c>
      <c r="K82" s="13">
        <v>9</v>
      </c>
      <c r="L82" s="12">
        <v>98</v>
      </c>
      <c r="M82" s="12">
        <v>130</v>
      </c>
      <c r="N82" s="12">
        <v>7.98</v>
      </c>
      <c r="O82" s="19">
        <v>105.71</v>
      </c>
      <c r="Q82" t="s">
        <v>880</v>
      </c>
    </row>
    <row r="83" spans="2:17" x14ac:dyDescent="0.2">
      <c r="B83" s="1" t="s">
        <v>186</v>
      </c>
      <c r="C83" t="s">
        <v>324</v>
      </c>
      <c r="D83" t="s">
        <v>326</v>
      </c>
      <c r="E83" s="1" t="s">
        <v>404</v>
      </c>
      <c r="H83" s="12" t="s">
        <v>277</v>
      </c>
      <c r="I83" s="11" t="s">
        <v>1462</v>
      </c>
      <c r="J83" s="12" t="s">
        <v>316</v>
      </c>
      <c r="K83" s="13">
        <v>9.9</v>
      </c>
      <c r="L83" s="12">
        <v>148</v>
      </c>
      <c r="M83" s="12">
        <v>170</v>
      </c>
      <c r="N83" s="12">
        <v>7.98</v>
      </c>
      <c r="O83" s="19">
        <v>124.91</v>
      </c>
      <c r="Q83" t="s">
        <v>881</v>
      </c>
    </row>
    <row r="84" spans="2:17" x14ac:dyDescent="0.2">
      <c r="B84" s="1" t="s">
        <v>187</v>
      </c>
      <c r="C84" t="s">
        <v>324</v>
      </c>
      <c r="D84" t="s">
        <v>326</v>
      </c>
      <c r="E84" s="1" t="s">
        <v>405</v>
      </c>
      <c r="H84" s="12" t="s">
        <v>278</v>
      </c>
      <c r="I84" s="11" t="s">
        <v>1463</v>
      </c>
      <c r="J84" s="12" t="s">
        <v>316</v>
      </c>
      <c r="K84" s="13">
        <v>10.199999999999999</v>
      </c>
      <c r="L84" s="12">
        <v>174</v>
      </c>
      <c r="M84" s="12">
        <v>195</v>
      </c>
      <c r="N84" s="12">
        <v>7.98</v>
      </c>
      <c r="O84" s="19">
        <v>167.01</v>
      </c>
      <c r="Q84" t="s">
        <v>882</v>
      </c>
    </row>
    <row r="85" spans="2:17" x14ac:dyDescent="0.2">
      <c r="B85" s="1" t="s">
        <v>188</v>
      </c>
      <c r="C85" t="s">
        <v>324</v>
      </c>
      <c r="D85" t="s">
        <v>326</v>
      </c>
      <c r="E85" s="1" t="s">
        <v>406</v>
      </c>
      <c r="H85" s="12" t="s">
        <v>279</v>
      </c>
      <c r="I85" s="11" t="s">
        <v>1464</v>
      </c>
      <c r="J85" s="12" t="s">
        <v>316</v>
      </c>
      <c r="K85" s="13">
        <v>11.6</v>
      </c>
      <c r="L85" s="12">
        <v>200</v>
      </c>
      <c r="M85" s="12">
        <v>225</v>
      </c>
      <c r="N85" s="12">
        <v>7.98</v>
      </c>
      <c r="O85" s="19">
        <v>213.2</v>
      </c>
      <c r="Q85" t="s">
        <v>883</v>
      </c>
    </row>
    <row r="86" spans="2:17" x14ac:dyDescent="0.2">
      <c r="B86" s="1" t="s">
        <v>189</v>
      </c>
      <c r="C86" t="s">
        <v>324</v>
      </c>
      <c r="D86" t="s">
        <v>326</v>
      </c>
      <c r="E86" s="1" t="s">
        <v>407</v>
      </c>
      <c r="H86" s="12" t="s">
        <v>280</v>
      </c>
      <c r="I86" s="11" t="s">
        <v>1465</v>
      </c>
      <c r="J86" s="12" t="s">
        <v>316</v>
      </c>
      <c r="K86" s="13">
        <v>13.7</v>
      </c>
      <c r="L86" s="12">
        <v>235</v>
      </c>
      <c r="M86" s="12">
        <v>345</v>
      </c>
      <c r="N86" s="12">
        <v>7.98</v>
      </c>
      <c r="O86" s="19">
        <v>277.98</v>
      </c>
      <c r="Q86" t="s">
        <v>884</v>
      </c>
    </row>
    <row r="87" spans="2:17" x14ac:dyDescent="0.2">
      <c r="B87" s="1" t="s">
        <v>190</v>
      </c>
      <c r="C87" t="s">
        <v>324</v>
      </c>
      <c r="D87" t="s">
        <v>326</v>
      </c>
      <c r="E87" s="1" t="s">
        <v>408</v>
      </c>
      <c r="H87" s="12" t="s">
        <v>282</v>
      </c>
      <c r="I87" s="11" t="s">
        <v>1466</v>
      </c>
      <c r="J87" s="12" t="s">
        <v>316</v>
      </c>
      <c r="K87" s="13">
        <v>18.2</v>
      </c>
      <c r="L87" s="12">
        <v>355</v>
      </c>
      <c r="M87" s="12">
        <v>570</v>
      </c>
      <c r="N87" s="12">
        <v>7.98</v>
      </c>
      <c r="O87" s="19">
        <v>496.62</v>
      </c>
      <c r="Q87" t="s">
        <v>885</v>
      </c>
    </row>
    <row r="88" spans="2:17" x14ac:dyDescent="0.2">
      <c r="B88" s="1" t="s">
        <v>191</v>
      </c>
      <c r="C88" t="s">
        <v>324</v>
      </c>
      <c r="D88" t="s">
        <v>326</v>
      </c>
      <c r="E88" s="1" t="s">
        <v>409</v>
      </c>
      <c r="H88" s="12" t="s">
        <v>284</v>
      </c>
      <c r="I88" s="11" t="s">
        <v>1467</v>
      </c>
      <c r="J88" s="12" t="s">
        <v>316</v>
      </c>
      <c r="K88" s="13">
        <v>22.4</v>
      </c>
      <c r="L88" s="12">
        <v>569</v>
      </c>
      <c r="M88" s="12">
        <v>970</v>
      </c>
      <c r="N88" s="12">
        <v>7.98</v>
      </c>
      <c r="O88" s="19">
        <v>711.06</v>
      </c>
      <c r="Q88" t="s">
        <v>886</v>
      </c>
    </row>
    <row r="89" spans="2:17" x14ac:dyDescent="0.2">
      <c r="B89" s="1" t="s">
        <v>192</v>
      </c>
      <c r="C89" t="s">
        <v>324</v>
      </c>
      <c r="D89" t="s">
        <v>326</v>
      </c>
      <c r="E89" s="1" t="s">
        <v>410</v>
      </c>
      <c r="H89" s="12" t="s">
        <v>285</v>
      </c>
      <c r="I89" s="11" t="s">
        <v>1468</v>
      </c>
      <c r="J89" s="12" t="s">
        <v>316</v>
      </c>
      <c r="K89" s="13">
        <v>25.2</v>
      </c>
      <c r="L89" s="12">
        <v>827</v>
      </c>
      <c r="M89" s="12">
        <v>1350</v>
      </c>
      <c r="N89" s="12">
        <v>7.98</v>
      </c>
      <c r="O89" s="19">
        <v>901.89</v>
      </c>
      <c r="Q89" t="s">
        <v>887</v>
      </c>
    </row>
    <row r="90" spans="2:17" ht="3.6" customHeight="1" x14ac:dyDescent="0.2">
      <c r="B90"/>
      <c r="C90" s="1"/>
      <c r="E90"/>
      <c r="F90"/>
      <c r="G90"/>
      <c r="H90" s="15"/>
      <c r="I90" s="16"/>
      <c r="J90" s="15"/>
      <c r="K90" s="17"/>
      <c r="L90" s="15"/>
      <c r="M90" s="15"/>
      <c r="N90" s="17"/>
      <c r="O90" s="20"/>
    </row>
    <row r="91" spans="2:17" x14ac:dyDescent="0.2">
      <c r="B91" s="1" t="s">
        <v>193</v>
      </c>
      <c r="C91" t="s">
        <v>324</v>
      </c>
      <c r="D91" t="s">
        <v>326</v>
      </c>
      <c r="E91" s="1" t="s">
        <v>411</v>
      </c>
      <c r="H91" s="12" t="s">
        <v>293</v>
      </c>
      <c r="I91" s="11" t="s">
        <v>1469</v>
      </c>
      <c r="J91" s="12" t="s">
        <v>317</v>
      </c>
      <c r="K91" s="13">
        <v>11.7</v>
      </c>
      <c r="L91" s="12">
        <v>190</v>
      </c>
      <c r="M91" s="12">
        <v>235</v>
      </c>
      <c r="N91" s="12">
        <v>4.95</v>
      </c>
      <c r="O91" s="19">
        <v>205</v>
      </c>
      <c r="Q91" t="s">
        <v>888</v>
      </c>
    </row>
    <row r="92" spans="2:17" x14ac:dyDescent="0.2">
      <c r="B92" s="1" t="s">
        <v>194</v>
      </c>
      <c r="C92" t="s">
        <v>324</v>
      </c>
      <c r="D92" t="s">
        <v>326</v>
      </c>
      <c r="E92" s="1" t="s">
        <v>412</v>
      </c>
      <c r="H92" s="12" t="s">
        <v>294</v>
      </c>
      <c r="I92" s="11" t="s">
        <v>1470</v>
      </c>
      <c r="J92" s="12" t="s">
        <v>317</v>
      </c>
      <c r="K92" s="13">
        <v>12.9</v>
      </c>
      <c r="L92" s="12">
        <v>220</v>
      </c>
      <c r="M92" s="12">
        <v>310</v>
      </c>
      <c r="N92" s="12">
        <v>4.95</v>
      </c>
      <c r="O92" s="19">
        <v>264.13</v>
      </c>
      <c r="Q92" t="s">
        <v>889</v>
      </c>
    </row>
    <row r="93" spans="2:17" x14ac:dyDescent="0.2">
      <c r="B93" s="1" t="s">
        <v>195</v>
      </c>
      <c r="C93" t="s">
        <v>324</v>
      </c>
      <c r="D93" t="s">
        <v>326</v>
      </c>
      <c r="E93" s="1" t="s">
        <v>413</v>
      </c>
      <c r="H93" s="12" t="s">
        <v>295</v>
      </c>
      <c r="I93" s="11" t="s">
        <v>1471</v>
      </c>
      <c r="J93" s="12" t="s">
        <v>317</v>
      </c>
      <c r="K93" s="13">
        <v>14.3</v>
      </c>
      <c r="L93" s="12">
        <v>328</v>
      </c>
      <c r="M93" s="12">
        <v>385</v>
      </c>
      <c r="N93" s="12">
        <v>4.95</v>
      </c>
      <c r="O93" s="19">
        <v>347</v>
      </c>
      <c r="Q93" t="s">
        <v>890</v>
      </c>
    </row>
    <row r="94" spans="2:17" x14ac:dyDescent="0.2">
      <c r="B94" s="1" t="s">
        <v>196</v>
      </c>
      <c r="C94" t="s">
        <v>324</v>
      </c>
      <c r="D94" t="s">
        <v>326</v>
      </c>
      <c r="E94" s="1" t="s">
        <v>414</v>
      </c>
      <c r="H94" s="12" t="s">
        <v>296</v>
      </c>
      <c r="I94" s="11" t="s">
        <v>1472</v>
      </c>
      <c r="J94" s="12" t="s">
        <v>317</v>
      </c>
      <c r="K94" s="13">
        <v>15.4</v>
      </c>
      <c r="L94" s="12">
        <v>355</v>
      </c>
      <c r="M94" s="12">
        <v>500</v>
      </c>
      <c r="N94" s="12">
        <v>4.95</v>
      </c>
      <c r="O94" s="19">
        <v>455</v>
      </c>
      <c r="Q94" t="s">
        <v>891</v>
      </c>
    </row>
    <row r="95" spans="2:17" ht="3.6" customHeight="1" x14ac:dyDescent="0.2">
      <c r="B95"/>
      <c r="C95" s="1"/>
      <c r="E95"/>
      <c r="F95"/>
      <c r="G95"/>
      <c r="H95" s="15"/>
      <c r="I95" s="16"/>
      <c r="J95" s="15"/>
      <c r="K95" s="17"/>
      <c r="L95" s="15"/>
      <c r="M95" s="15"/>
      <c r="N95" s="17"/>
      <c r="O95" s="20"/>
    </row>
    <row r="96" spans="2:17" x14ac:dyDescent="0.2">
      <c r="B96" s="1" t="s">
        <v>197</v>
      </c>
      <c r="C96" t="s">
        <v>324</v>
      </c>
      <c r="D96" t="s">
        <v>326</v>
      </c>
      <c r="E96" s="1" t="s">
        <v>415</v>
      </c>
      <c r="H96" s="12" t="s">
        <v>298</v>
      </c>
      <c r="I96" s="11" t="s">
        <v>1473</v>
      </c>
      <c r="J96" s="12" t="s">
        <v>318</v>
      </c>
      <c r="K96" s="13">
        <v>13.2</v>
      </c>
      <c r="L96" s="12">
        <v>260</v>
      </c>
      <c r="M96" s="12">
        <v>320</v>
      </c>
      <c r="N96" s="19">
        <v>3.3</v>
      </c>
      <c r="O96" s="19">
        <v>292</v>
      </c>
      <c r="Q96" t="s">
        <v>892</v>
      </c>
    </row>
    <row r="97" spans="2:17" x14ac:dyDescent="0.2">
      <c r="B97" s="1" t="s">
        <v>198</v>
      </c>
      <c r="C97" t="s">
        <v>324</v>
      </c>
      <c r="D97" t="s">
        <v>326</v>
      </c>
      <c r="E97" s="1" t="s">
        <v>416</v>
      </c>
      <c r="H97" s="12" t="s">
        <v>299</v>
      </c>
      <c r="I97" s="11" t="s">
        <v>1474</v>
      </c>
      <c r="J97" s="12" t="s">
        <v>318</v>
      </c>
      <c r="K97" s="13">
        <v>14.7</v>
      </c>
      <c r="L97" s="12">
        <v>305</v>
      </c>
      <c r="M97" s="12">
        <v>415</v>
      </c>
      <c r="N97" s="19">
        <v>3.3</v>
      </c>
      <c r="O97" s="19">
        <v>395.58</v>
      </c>
      <c r="Q97" t="s">
        <v>893</v>
      </c>
    </row>
    <row r="98" spans="2:17" x14ac:dyDescent="0.2">
      <c r="B98" s="1" t="s">
        <v>114</v>
      </c>
      <c r="C98" t="s">
        <v>323</v>
      </c>
      <c r="D98" t="s">
        <v>325</v>
      </c>
      <c r="E98" s="1" t="s">
        <v>330</v>
      </c>
      <c r="H98" s="12" t="s">
        <v>300</v>
      </c>
      <c r="I98" s="11" t="s">
        <v>1475</v>
      </c>
      <c r="J98" s="12" t="s">
        <v>318</v>
      </c>
      <c r="K98" s="13">
        <v>16.399999999999999</v>
      </c>
      <c r="L98" s="12">
        <v>441</v>
      </c>
      <c r="M98" s="12">
        <v>510</v>
      </c>
      <c r="N98" s="19">
        <v>3.3</v>
      </c>
      <c r="O98" s="19">
        <v>495</v>
      </c>
      <c r="Q98" t="s">
        <v>894</v>
      </c>
    </row>
    <row r="99" spans="2:17" ht="3.6" customHeight="1" x14ac:dyDescent="0.2">
      <c r="B99"/>
      <c r="C99" s="1"/>
      <c r="E99"/>
      <c r="F99"/>
      <c r="G99"/>
      <c r="H99" s="15"/>
      <c r="I99" s="16"/>
      <c r="J99" s="15"/>
      <c r="K99" s="17"/>
      <c r="L99" s="15"/>
      <c r="M99" s="15"/>
      <c r="N99" s="17"/>
      <c r="O99" s="20"/>
    </row>
    <row r="100" spans="2:17" x14ac:dyDescent="0.2">
      <c r="B100" s="1" t="s">
        <v>115</v>
      </c>
      <c r="C100" t="s">
        <v>324</v>
      </c>
      <c r="D100" t="s">
        <v>326</v>
      </c>
      <c r="E100" s="1" t="s">
        <v>417</v>
      </c>
      <c r="H100" s="12" t="s">
        <v>302</v>
      </c>
      <c r="I100" s="11" t="s">
        <v>1476</v>
      </c>
      <c r="J100" s="12" t="s">
        <v>319</v>
      </c>
      <c r="K100" s="13">
        <v>15.5</v>
      </c>
      <c r="L100" s="12">
        <v>430</v>
      </c>
      <c r="M100" s="12">
        <v>470</v>
      </c>
      <c r="N100" s="12">
        <v>1.91</v>
      </c>
      <c r="O100" s="19">
        <v>652.34</v>
      </c>
      <c r="Q100" t="s">
        <v>895</v>
      </c>
    </row>
    <row r="101" spans="2:17" x14ac:dyDescent="0.2">
      <c r="B101" s="1" t="s">
        <v>116</v>
      </c>
      <c r="C101" t="s">
        <v>324</v>
      </c>
      <c r="D101" t="s">
        <v>326</v>
      </c>
      <c r="E101" s="1" t="s">
        <v>418</v>
      </c>
      <c r="H101" s="12" t="s">
        <v>303</v>
      </c>
      <c r="I101" s="11" t="s">
        <v>1477</v>
      </c>
      <c r="J101" s="12" t="s">
        <v>319</v>
      </c>
      <c r="K101" s="13">
        <v>17.5</v>
      </c>
      <c r="L101" s="12">
        <v>485</v>
      </c>
      <c r="M101" s="12">
        <v>700</v>
      </c>
      <c r="N101" s="12">
        <v>1.91</v>
      </c>
      <c r="O101" s="19">
        <v>858</v>
      </c>
      <c r="Q101" t="s">
        <v>896</v>
      </c>
    </row>
    <row r="102" spans="2:17" x14ac:dyDescent="0.2">
      <c r="B102" s="1" t="s">
        <v>117</v>
      </c>
      <c r="C102" t="s">
        <v>324</v>
      </c>
      <c r="D102" t="s">
        <v>326</v>
      </c>
      <c r="E102" s="1" t="s">
        <v>419</v>
      </c>
      <c r="H102" s="12" t="s">
        <v>304</v>
      </c>
      <c r="I102" s="11" t="s">
        <v>1478</v>
      </c>
      <c r="J102" s="12" t="s">
        <v>319</v>
      </c>
      <c r="K102" s="13">
        <v>19.899999999999999</v>
      </c>
      <c r="L102" s="12">
        <v>545</v>
      </c>
      <c r="M102" s="12">
        <v>930</v>
      </c>
      <c r="N102" s="12">
        <v>1.91</v>
      </c>
      <c r="O102" s="19" t="s">
        <v>904</v>
      </c>
      <c r="Q102" t="s">
        <v>897</v>
      </c>
    </row>
    <row r="103" spans="2:17" ht="3.6" customHeight="1" x14ac:dyDescent="0.2">
      <c r="B103"/>
      <c r="C103" s="1"/>
      <c r="E103"/>
      <c r="F103"/>
      <c r="G103"/>
      <c r="H103" s="15"/>
      <c r="I103" s="16"/>
      <c r="J103" s="15"/>
      <c r="K103" s="17"/>
      <c r="L103" s="15"/>
      <c r="M103" s="15"/>
      <c r="N103" s="17"/>
      <c r="O103" s="20"/>
    </row>
    <row r="104" spans="2:17" x14ac:dyDescent="0.2">
      <c r="B104" s="1" t="s">
        <v>118</v>
      </c>
      <c r="C104" t="s">
        <v>324</v>
      </c>
      <c r="D104" t="s">
        <v>326</v>
      </c>
      <c r="E104" s="1" t="s">
        <v>420</v>
      </c>
      <c r="H104" s="12" t="s">
        <v>307</v>
      </c>
      <c r="I104" s="11" t="s">
        <v>1479</v>
      </c>
      <c r="J104" s="12" t="s">
        <v>320</v>
      </c>
      <c r="K104" s="13">
        <v>20.2</v>
      </c>
      <c r="L104" s="12">
        <v>800</v>
      </c>
      <c r="M104" s="12">
        <v>1050</v>
      </c>
      <c r="N104" s="12">
        <v>1.21</v>
      </c>
      <c r="O104" s="19">
        <v>1239</v>
      </c>
      <c r="Q104" t="s">
        <v>898</v>
      </c>
    </row>
    <row r="105" spans="2:17" x14ac:dyDescent="0.2">
      <c r="B105" s="1" t="s">
        <v>119</v>
      </c>
      <c r="C105" t="s">
        <v>324</v>
      </c>
      <c r="D105" t="s">
        <v>326</v>
      </c>
      <c r="E105" s="1" t="s">
        <v>421</v>
      </c>
      <c r="H105" s="12" t="s">
        <v>308</v>
      </c>
      <c r="I105" s="11" t="s">
        <v>1480</v>
      </c>
      <c r="J105" s="12" t="s">
        <v>320</v>
      </c>
      <c r="K105" s="13">
        <v>22.6</v>
      </c>
      <c r="L105" s="12">
        <v>895</v>
      </c>
      <c r="M105" s="12">
        <v>1285</v>
      </c>
      <c r="N105" s="12">
        <v>1.21</v>
      </c>
      <c r="O105" s="19" t="s">
        <v>904</v>
      </c>
      <c r="Q105" t="s">
        <v>899</v>
      </c>
    </row>
    <row r="106" spans="2:17" ht="3.6" customHeight="1" x14ac:dyDescent="0.2">
      <c r="B106"/>
      <c r="C106" s="1"/>
      <c r="E106"/>
      <c r="F106"/>
      <c r="G106"/>
      <c r="H106" s="15"/>
      <c r="I106" s="16"/>
      <c r="J106" s="15"/>
      <c r="K106" s="17"/>
      <c r="L106" s="15"/>
      <c r="M106" s="15"/>
      <c r="N106" s="17"/>
      <c r="O106" s="20"/>
    </row>
    <row r="107" spans="2:17" x14ac:dyDescent="0.2">
      <c r="B107" s="1" t="s">
        <v>120</v>
      </c>
      <c r="C107" t="s">
        <v>324</v>
      </c>
      <c r="D107" t="s">
        <v>326</v>
      </c>
      <c r="E107" s="1" t="s">
        <v>422</v>
      </c>
      <c r="H107" s="12" t="s">
        <v>311</v>
      </c>
      <c r="I107" s="11" t="s">
        <v>1481</v>
      </c>
      <c r="J107" s="12" t="s">
        <v>321</v>
      </c>
      <c r="K107" s="13">
        <v>25.1</v>
      </c>
      <c r="L107" s="12">
        <v>1075</v>
      </c>
      <c r="M107" s="12">
        <v>1415</v>
      </c>
      <c r="N107" s="37">
        <v>0.78</v>
      </c>
      <c r="O107" s="19">
        <v>1941</v>
      </c>
      <c r="Q107" t="s">
        <v>900</v>
      </c>
    </row>
    <row r="108" spans="2:17" x14ac:dyDescent="0.2">
      <c r="B108" s="1" t="s">
        <v>121</v>
      </c>
      <c r="C108" t="s">
        <v>324</v>
      </c>
      <c r="D108" t="s">
        <v>326</v>
      </c>
      <c r="E108" s="1" t="s">
        <v>423</v>
      </c>
      <c r="H108" s="12" t="s">
        <v>312</v>
      </c>
      <c r="I108" s="11" t="s">
        <v>1482</v>
      </c>
      <c r="J108" s="12" t="s">
        <v>321</v>
      </c>
      <c r="K108" s="13">
        <v>28</v>
      </c>
      <c r="L108" s="12">
        <v>1400</v>
      </c>
      <c r="M108" s="12">
        <v>1980</v>
      </c>
      <c r="N108" s="37">
        <v>0.78</v>
      </c>
      <c r="O108" s="19" t="s">
        <v>904</v>
      </c>
      <c r="Q108" t="s">
        <v>901</v>
      </c>
    </row>
    <row r="109" spans="2:17" ht="3.6" customHeight="1" x14ac:dyDescent="0.2">
      <c r="B109"/>
      <c r="C109" s="1"/>
      <c r="E109"/>
      <c r="F109"/>
      <c r="G109"/>
      <c r="H109" s="15"/>
      <c r="I109" s="16"/>
      <c r="J109" s="15"/>
      <c r="K109" s="17"/>
      <c r="L109" s="15"/>
      <c r="M109" s="15"/>
      <c r="N109" s="17"/>
      <c r="O109" s="20"/>
      <c r="Q109" t="s">
        <v>902</v>
      </c>
    </row>
    <row r="110" spans="2:17" x14ac:dyDescent="0.2">
      <c r="B110" s="1" t="s">
        <v>122</v>
      </c>
      <c r="C110" t="s">
        <v>324</v>
      </c>
      <c r="D110" t="s">
        <v>326</v>
      </c>
      <c r="E110" s="1" t="s">
        <v>424</v>
      </c>
      <c r="H110" s="12" t="s">
        <v>314</v>
      </c>
      <c r="I110" s="11" t="s">
        <v>1483</v>
      </c>
      <c r="J110" s="12" t="s">
        <v>322</v>
      </c>
      <c r="K110" s="13">
        <v>28</v>
      </c>
      <c r="L110" s="12">
        <v>1576</v>
      </c>
      <c r="M110" s="12">
        <v>2075</v>
      </c>
      <c r="N110" s="12">
        <v>0.55400000000000005</v>
      </c>
      <c r="O110" s="19">
        <v>2548</v>
      </c>
      <c r="Q110" t="s">
        <v>903</v>
      </c>
    </row>
    <row r="111" spans="2:17" x14ac:dyDescent="0.2">
      <c r="B111" s="1" t="s">
        <v>123</v>
      </c>
      <c r="C111" t="s">
        <v>324</v>
      </c>
      <c r="D111" t="s">
        <v>326</v>
      </c>
      <c r="E111" s="1" t="s">
        <v>425</v>
      </c>
      <c r="K111" s="1"/>
    </row>
    <row r="112" spans="2:17" x14ac:dyDescent="0.2">
      <c r="B112" s="1" t="s">
        <v>199</v>
      </c>
      <c r="C112" t="s">
        <v>324</v>
      </c>
      <c r="D112" t="s">
        <v>326</v>
      </c>
      <c r="E112" s="1" t="s">
        <v>426</v>
      </c>
      <c r="K112" s="1"/>
    </row>
    <row r="113" spans="2:11" x14ac:dyDescent="0.2">
      <c r="B113" s="1" t="s">
        <v>200</v>
      </c>
      <c r="C113" t="s">
        <v>324</v>
      </c>
      <c r="D113" t="s">
        <v>326</v>
      </c>
      <c r="E113" s="1" t="s">
        <v>427</v>
      </c>
      <c r="K113" s="1"/>
    </row>
    <row r="114" spans="2:11" x14ac:dyDescent="0.2">
      <c r="K114" s="1"/>
    </row>
    <row r="115" spans="2:11" x14ac:dyDescent="0.2">
      <c r="K115" s="1"/>
    </row>
  </sheetData>
  <mergeCells count="1">
    <mergeCell ref="I4:I5"/>
  </mergeCells>
  <hyperlinks>
    <hyperlink ref="I2" r:id="rId1" xr:uid="{21BA16BC-345F-43C3-88F2-13D62B47DFC4}"/>
  </hyperlinks>
  <pageMargins left="0.32" right="0.17" top="0.17" bottom="0.17" header="0.17" footer="0.3"/>
  <pageSetup scale="75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15A4A-4D73-4FEB-B5B5-8B973FA8750A}">
  <sheetPr>
    <tabColor rgb="FF00B050"/>
  </sheetPr>
  <dimension ref="A1:Q115"/>
  <sheetViews>
    <sheetView topLeftCell="G1" zoomScaleNormal="100" workbookViewId="0">
      <selection activeCell="H73" sqref="H73"/>
    </sheetView>
  </sheetViews>
  <sheetFormatPr defaultRowHeight="14.25" x14ac:dyDescent="0.2"/>
  <cols>
    <col min="1" max="1" width="1.875" hidden="1" customWidth="1"/>
    <col min="2" max="2" width="13.125" style="1" hidden="1" customWidth="1"/>
    <col min="3" max="3" width="20.375" hidden="1" customWidth="1"/>
    <col min="4" max="4" width="7" hidden="1" customWidth="1"/>
    <col min="5" max="6" width="14.375" style="1" hidden="1" customWidth="1"/>
    <col min="7" max="7" width="5.875" style="1" customWidth="1"/>
    <col min="8" max="8" width="14.375" style="1" customWidth="1"/>
    <col min="9" max="9" width="24.125" style="1" customWidth="1"/>
    <col min="10" max="10" width="19" style="1" customWidth="1"/>
    <col min="11" max="11" width="9.375" style="3" bestFit="1" customWidth="1"/>
    <col min="12" max="13" width="9.75" style="1" bestFit="1" customWidth="1"/>
    <col min="14" max="14" width="17.875" style="1" bestFit="1" customWidth="1"/>
    <col min="15" max="15" width="14.75" style="1" customWidth="1"/>
    <col min="16" max="16" width="11.625" style="1" customWidth="1"/>
    <col min="17" max="17" width="57" customWidth="1"/>
  </cols>
  <sheetData>
    <row r="1" spans="2:17" x14ac:dyDescent="0.2">
      <c r="K1" s="1"/>
    </row>
    <row r="2" spans="2:17" x14ac:dyDescent="0.2">
      <c r="I2" s="34" t="s">
        <v>651</v>
      </c>
      <c r="K2" s="1"/>
    </row>
    <row r="3" spans="2:17" x14ac:dyDescent="0.2">
      <c r="K3" s="1"/>
    </row>
    <row r="4" spans="2:17" s="5" customFormat="1" ht="20.45" customHeight="1" x14ac:dyDescent="0.2">
      <c r="B4" s="4" t="s">
        <v>131</v>
      </c>
      <c r="E4" s="4"/>
      <c r="F4" s="4"/>
      <c r="G4" s="4"/>
      <c r="H4" s="6" t="s">
        <v>164</v>
      </c>
      <c r="I4" s="38" t="s">
        <v>480</v>
      </c>
      <c r="J4" s="6" t="s">
        <v>486</v>
      </c>
      <c r="K4" s="7" t="s">
        <v>170</v>
      </c>
      <c r="L4" s="6" t="s">
        <v>481</v>
      </c>
      <c r="M4" s="6" t="s">
        <v>482</v>
      </c>
      <c r="N4" s="6" t="s">
        <v>172</v>
      </c>
      <c r="O4" s="6" t="s">
        <v>913</v>
      </c>
      <c r="P4" s="1"/>
    </row>
    <row r="5" spans="2:17" s="5" customFormat="1" ht="20.45" customHeight="1" x14ac:dyDescent="0.2">
      <c r="B5" s="4"/>
      <c r="E5" s="4"/>
      <c r="F5" s="4"/>
      <c r="G5" s="4"/>
      <c r="H5" s="8" t="s">
        <v>484</v>
      </c>
      <c r="I5" s="39"/>
      <c r="J5" s="8" t="s">
        <v>169</v>
      </c>
      <c r="K5" s="9" t="s">
        <v>483</v>
      </c>
      <c r="L5" s="8" t="s">
        <v>171</v>
      </c>
      <c r="M5" s="8" t="s">
        <v>171</v>
      </c>
      <c r="N5" s="10" t="s">
        <v>485</v>
      </c>
      <c r="O5" s="24" t="s">
        <v>914</v>
      </c>
      <c r="P5" s="1"/>
      <c r="Q5" s="18" t="s">
        <v>905</v>
      </c>
    </row>
    <row r="6" spans="2:17" x14ac:dyDescent="0.2">
      <c r="B6" s="1" t="s">
        <v>85</v>
      </c>
      <c r="C6" t="s">
        <v>323</v>
      </c>
      <c r="D6" t="s">
        <v>325</v>
      </c>
      <c r="E6" s="2" t="s">
        <v>327</v>
      </c>
      <c r="F6" s="2"/>
      <c r="G6" s="2"/>
      <c r="H6" s="12" t="s">
        <v>165</v>
      </c>
      <c r="I6" s="11" t="s">
        <v>1594</v>
      </c>
      <c r="J6" s="12" t="s">
        <v>24</v>
      </c>
      <c r="K6" s="13">
        <v>5.3</v>
      </c>
      <c r="L6" s="12">
        <v>32</v>
      </c>
      <c r="M6" s="12">
        <v>45</v>
      </c>
      <c r="N6" s="13">
        <v>39</v>
      </c>
      <c r="O6" s="19">
        <v>37.47</v>
      </c>
      <c r="Q6" t="s">
        <v>808</v>
      </c>
    </row>
    <row r="7" spans="2:17" x14ac:dyDescent="0.2">
      <c r="B7" s="1" t="s">
        <v>86</v>
      </c>
      <c r="C7" t="s">
        <v>324</v>
      </c>
      <c r="D7" t="s">
        <v>326</v>
      </c>
      <c r="E7" s="1" t="s">
        <v>333</v>
      </c>
      <c r="H7" s="12" t="s">
        <v>0</v>
      </c>
      <c r="I7" s="11" t="s">
        <v>1595</v>
      </c>
      <c r="J7" s="12" t="s">
        <v>24</v>
      </c>
      <c r="K7" s="13">
        <v>5.6</v>
      </c>
      <c r="L7" s="12">
        <v>39</v>
      </c>
      <c r="M7" s="12">
        <v>55</v>
      </c>
      <c r="N7" s="13">
        <v>39</v>
      </c>
      <c r="O7" s="19">
        <v>44.6</v>
      </c>
      <c r="Q7" t="s">
        <v>809</v>
      </c>
    </row>
    <row r="8" spans="2:17" x14ac:dyDescent="0.2">
      <c r="B8" s="1" t="s">
        <v>87</v>
      </c>
      <c r="C8" t="s">
        <v>324</v>
      </c>
      <c r="D8" t="s">
        <v>326</v>
      </c>
      <c r="E8" s="1" t="s">
        <v>334</v>
      </c>
      <c r="H8" s="12" t="s">
        <v>1</v>
      </c>
      <c r="I8" s="11" t="s">
        <v>1596</v>
      </c>
      <c r="J8" s="12" t="s">
        <v>24</v>
      </c>
      <c r="K8" s="13">
        <v>6.3</v>
      </c>
      <c r="L8" s="12">
        <v>46</v>
      </c>
      <c r="M8" s="12">
        <v>60</v>
      </c>
      <c r="N8" s="13">
        <v>39</v>
      </c>
      <c r="O8" s="19">
        <v>50.56</v>
      </c>
      <c r="Q8" t="s">
        <v>810</v>
      </c>
    </row>
    <row r="9" spans="2:17" x14ac:dyDescent="0.2">
      <c r="B9" s="1" t="s">
        <v>88</v>
      </c>
      <c r="C9" t="s">
        <v>324</v>
      </c>
      <c r="D9" t="s">
        <v>326</v>
      </c>
      <c r="E9" s="1" t="s">
        <v>335</v>
      </c>
      <c r="H9" s="12" t="s">
        <v>3</v>
      </c>
      <c r="I9" s="11" t="s">
        <v>1597</v>
      </c>
      <c r="J9" s="12" t="s">
        <v>24</v>
      </c>
      <c r="K9" s="13">
        <v>6.6</v>
      </c>
      <c r="L9" s="12">
        <v>52</v>
      </c>
      <c r="M9" s="12">
        <v>75</v>
      </c>
      <c r="N9" s="13">
        <v>39</v>
      </c>
      <c r="O9" s="19">
        <v>67.36</v>
      </c>
      <c r="Q9" t="s">
        <v>811</v>
      </c>
    </row>
    <row r="10" spans="2:17" x14ac:dyDescent="0.2">
      <c r="B10" s="1" t="s">
        <v>89</v>
      </c>
      <c r="C10" t="s">
        <v>324</v>
      </c>
      <c r="D10" t="s">
        <v>326</v>
      </c>
      <c r="E10" s="1" t="s">
        <v>336</v>
      </c>
      <c r="H10" s="12" t="s">
        <v>2</v>
      </c>
      <c r="I10" s="11" t="s">
        <v>1598</v>
      </c>
      <c r="J10" s="12" t="s">
        <v>24</v>
      </c>
      <c r="K10" s="13">
        <v>7.2</v>
      </c>
      <c r="L10" s="12">
        <v>66</v>
      </c>
      <c r="M10" s="12">
        <v>90</v>
      </c>
      <c r="N10" s="13">
        <v>39</v>
      </c>
      <c r="O10" s="19">
        <v>76.400000000000006</v>
      </c>
      <c r="Q10" t="s">
        <v>812</v>
      </c>
    </row>
    <row r="11" spans="2:17" x14ac:dyDescent="0.2">
      <c r="B11" s="1" t="s">
        <v>90</v>
      </c>
      <c r="C11" t="s">
        <v>324</v>
      </c>
      <c r="D11" t="s">
        <v>326</v>
      </c>
      <c r="E11" s="1" t="s">
        <v>337</v>
      </c>
      <c r="H11" s="12" t="s">
        <v>4</v>
      </c>
      <c r="I11" s="11" t="s">
        <v>1599</v>
      </c>
      <c r="J11" s="12" t="s">
        <v>24</v>
      </c>
      <c r="K11" s="13">
        <v>7.6</v>
      </c>
      <c r="L11" s="12">
        <v>68</v>
      </c>
      <c r="M11" s="12">
        <v>100</v>
      </c>
      <c r="N11" s="13">
        <v>39</v>
      </c>
      <c r="O11" s="19">
        <v>85.44</v>
      </c>
      <c r="Q11" t="s">
        <v>813</v>
      </c>
    </row>
    <row r="12" spans="2:17" x14ac:dyDescent="0.2">
      <c r="B12" s="1" t="s">
        <v>91</v>
      </c>
      <c r="C12" t="s">
        <v>324</v>
      </c>
      <c r="D12" t="s">
        <v>326</v>
      </c>
      <c r="E12" s="1" t="s">
        <v>338</v>
      </c>
      <c r="H12" s="12" t="s">
        <v>5</v>
      </c>
      <c r="I12" s="11" t="s">
        <v>1600</v>
      </c>
      <c r="J12" s="12" t="s">
        <v>24</v>
      </c>
      <c r="K12" s="13">
        <v>8.3000000000000007</v>
      </c>
      <c r="L12" s="12">
        <v>70</v>
      </c>
      <c r="M12" s="12">
        <v>120</v>
      </c>
      <c r="N12" s="13">
        <v>39</v>
      </c>
      <c r="O12" s="19">
        <v>98</v>
      </c>
      <c r="Q12" t="s">
        <v>814</v>
      </c>
    </row>
    <row r="13" spans="2:17" x14ac:dyDescent="0.2">
      <c r="B13" s="1" t="s">
        <v>92</v>
      </c>
      <c r="C13" t="s">
        <v>324</v>
      </c>
      <c r="D13" t="s">
        <v>326</v>
      </c>
      <c r="E13" s="1" t="s">
        <v>339</v>
      </c>
      <c r="H13" s="12" t="s">
        <v>6</v>
      </c>
      <c r="I13" s="11" t="s">
        <v>1601</v>
      </c>
      <c r="J13" s="12" t="s">
        <v>24</v>
      </c>
      <c r="K13" s="13">
        <v>9</v>
      </c>
      <c r="L13" s="12">
        <v>81</v>
      </c>
      <c r="M13" s="12">
        <v>135</v>
      </c>
      <c r="N13" s="13">
        <v>39</v>
      </c>
      <c r="O13" s="19">
        <v>102.44</v>
      </c>
      <c r="Q13" t="s">
        <v>815</v>
      </c>
    </row>
    <row r="14" spans="2:17" x14ac:dyDescent="0.2">
      <c r="B14" s="1" t="s">
        <v>93</v>
      </c>
      <c r="C14" t="s">
        <v>324</v>
      </c>
      <c r="D14" t="s">
        <v>326</v>
      </c>
      <c r="E14" s="1" t="s">
        <v>340</v>
      </c>
      <c r="H14" s="12" t="s">
        <v>7</v>
      </c>
      <c r="I14" s="11" t="s">
        <v>1602</v>
      </c>
      <c r="J14" s="12" t="s">
        <v>24</v>
      </c>
      <c r="K14" s="13">
        <v>9.5</v>
      </c>
      <c r="L14" s="12">
        <v>117</v>
      </c>
      <c r="M14" s="12">
        <v>155</v>
      </c>
      <c r="N14" s="13">
        <v>39</v>
      </c>
      <c r="O14" s="19">
        <v>130.76</v>
      </c>
      <c r="Q14" t="s">
        <v>816</v>
      </c>
    </row>
    <row r="15" spans="2:17" x14ac:dyDescent="0.2">
      <c r="B15" s="1" t="s">
        <v>132</v>
      </c>
      <c r="C15" t="s">
        <v>324</v>
      </c>
      <c r="D15" t="s">
        <v>326</v>
      </c>
      <c r="E15" s="1" t="s">
        <v>341</v>
      </c>
      <c r="H15" s="12" t="s">
        <v>8</v>
      </c>
      <c r="I15" s="11" t="s">
        <v>1603</v>
      </c>
      <c r="J15" s="12" t="s">
        <v>24</v>
      </c>
      <c r="K15" s="13">
        <v>10.4</v>
      </c>
      <c r="L15" s="12">
        <v>122</v>
      </c>
      <c r="M15" s="12">
        <v>190</v>
      </c>
      <c r="N15" s="13">
        <v>39</v>
      </c>
      <c r="O15" s="19">
        <v>151.80000000000001</v>
      </c>
      <c r="Q15" t="s">
        <v>817</v>
      </c>
    </row>
    <row r="16" spans="2:17" x14ac:dyDescent="0.2">
      <c r="B16" s="1" t="s">
        <v>133</v>
      </c>
      <c r="C16" t="s">
        <v>324</v>
      </c>
      <c r="D16" t="s">
        <v>326</v>
      </c>
      <c r="E16" s="1" t="s">
        <v>342</v>
      </c>
      <c r="H16" s="12" t="s">
        <v>9</v>
      </c>
      <c r="I16" s="11" t="s">
        <v>1604</v>
      </c>
      <c r="J16" s="12" t="s">
        <v>24</v>
      </c>
      <c r="K16" s="13">
        <v>11.2</v>
      </c>
      <c r="L16" s="12">
        <v>123</v>
      </c>
      <c r="M16" s="12">
        <v>210</v>
      </c>
      <c r="N16" s="13">
        <v>39</v>
      </c>
      <c r="O16" s="19">
        <v>164</v>
      </c>
      <c r="Q16" t="s">
        <v>818</v>
      </c>
    </row>
    <row r="17" spans="2:17" x14ac:dyDescent="0.2">
      <c r="B17" s="1" t="s">
        <v>134</v>
      </c>
      <c r="C17" t="s">
        <v>324</v>
      </c>
      <c r="D17" t="s">
        <v>326</v>
      </c>
      <c r="E17" s="1" t="s">
        <v>343</v>
      </c>
      <c r="H17" s="12" t="s">
        <v>10</v>
      </c>
      <c r="I17" s="11" t="s">
        <v>1605</v>
      </c>
      <c r="J17" s="12" t="s">
        <v>24</v>
      </c>
      <c r="K17" s="13">
        <v>11.5</v>
      </c>
      <c r="L17" s="12">
        <v>156</v>
      </c>
      <c r="M17" s="12">
        <v>220</v>
      </c>
      <c r="N17" s="13">
        <v>39</v>
      </c>
      <c r="O17" s="19">
        <v>184.51</v>
      </c>
      <c r="Q17" t="s">
        <v>819</v>
      </c>
    </row>
    <row r="18" spans="2:17" x14ac:dyDescent="0.2">
      <c r="B18" s="1" t="s">
        <v>135</v>
      </c>
      <c r="C18" t="s">
        <v>324</v>
      </c>
      <c r="D18" t="s">
        <v>326</v>
      </c>
      <c r="E18" s="1" t="s">
        <v>344</v>
      </c>
      <c r="H18" s="12" t="s">
        <v>11</v>
      </c>
      <c r="I18" s="11" t="s">
        <v>1606</v>
      </c>
      <c r="J18" s="12" t="s">
        <v>24</v>
      </c>
      <c r="K18" s="13">
        <v>11.8</v>
      </c>
      <c r="L18" s="12">
        <v>173</v>
      </c>
      <c r="M18" s="12">
        <v>240</v>
      </c>
      <c r="N18" s="13">
        <v>39</v>
      </c>
      <c r="O18" s="19">
        <v>195.36</v>
      </c>
      <c r="Q18" t="s">
        <v>820</v>
      </c>
    </row>
    <row r="19" spans="2:17" x14ac:dyDescent="0.2">
      <c r="B19" s="1" t="s">
        <v>136</v>
      </c>
      <c r="C19" t="s">
        <v>324</v>
      </c>
      <c r="D19" t="s">
        <v>326</v>
      </c>
      <c r="E19" s="1" t="s">
        <v>345</v>
      </c>
      <c r="H19" s="12" t="s">
        <v>12</v>
      </c>
      <c r="I19" s="11" t="s">
        <v>1607</v>
      </c>
      <c r="J19" s="12" t="s">
        <v>24</v>
      </c>
      <c r="K19" s="13">
        <v>12.3</v>
      </c>
      <c r="L19" s="12">
        <v>189</v>
      </c>
      <c r="M19" s="12">
        <v>250</v>
      </c>
      <c r="N19" s="13">
        <v>39</v>
      </c>
      <c r="O19" s="19">
        <v>205.13</v>
      </c>
      <c r="Q19" t="s">
        <v>821</v>
      </c>
    </row>
    <row r="20" spans="2:17" x14ac:dyDescent="0.2">
      <c r="B20" s="1" t="s">
        <v>137</v>
      </c>
      <c r="C20" t="s">
        <v>324</v>
      </c>
      <c r="D20" t="s">
        <v>326</v>
      </c>
      <c r="E20" s="1" t="s">
        <v>346</v>
      </c>
      <c r="H20" s="12" t="s">
        <v>647</v>
      </c>
      <c r="I20" s="11" t="s">
        <v>1608</v>
      </c>
      <c r="J20" s="12" t="s">
        <v>24</v>
      </c>
      <c r="K20" s="13">
        <v>13</v>
      </c>
      <c r="L20" s="12">
        <v>236</v>
      </c>
      <c r="M20" s="12">
        <v>300</v>
      </c>
      <c r="N20" s="13">
        <v>39</v>
      </c>
      <c r="O20" s="19">
        <f>O21/25*24</f>
        <v>242.304</v>
      </c>
      <c r="Q20" t="s">
        <v>822</v>
      </c>
    </row>
    <row r="21" spans="2:17" x14ac:dyDescent="0.2">
      <c r="B21" s="1" t="s">
        <v>138</v>
      </c>
      <c r="C21" t="s">
        <v>324</v>
      </c>
      <c r="D21" t="s">
        <v>326</v>
      </c>
      <c r="E21" s="1" t="s">
        <v>347</v>
      </c>
      <c r="H21" s="12" t="s">
        <v>13</v>
      </c>
      <c r="I21" s="11" t="s">
        <v>1609</v>
      </c>
      <c r="J21" s="12" t="s">
        <v>24</v>
      </c>
      <c r="K21" s="13">
        <v>13.6</v>
      </c>
      <c r="L21" s="12">
        <v>250</v>
      </c>
      <c r="M21" s="12">
        <v>315</v>
      </c>
      <c r="N21" s="13">
        <v>39</v>
      </c>
      <c r="O21" s="19">
        <v>252.4</v>
      </c>
      <c r="Q21" t="s">
        <v>823</v>
      </c>
    </row>
    <row r="22" spans="2:17" x14ac:dyDescent="0.2">
      <c r="B22" s="1" t="s">
        <v>139</v>
      </c>
      <c r="C22" t="s">
        <v>324</v>
      </c>
      <c r="D22" t="s">
        <v>326</v>
      </c>
      <c r="E22" s="1" t="s">
        <v>348</v>
      </c>
      <c r="H22" s="12" t="s">
        <v>14</v>
      </c>
      <c r="I22" s="11" t="s">
        <v>1610</v>
      </c>
      <c r="J22" s="12" t="s">
        <v>24</v>
      </c>
      <c r="K22" s="13">
        <v>14</v>
      </c>
      <c r="L22" s="12">
        <v>297</v>
      </c>
      <c r="M22" s="12">
        <v>360</v>
      </c>
      <c r="N22" s="13">
        <v>39</v>
      </c>
      <c r="O22" s="19">
        <v>303</v>
      </c>
      <c r="Q22" t="s">
        <v>824</v>
      </c>
    </row>
    <row r="23" spans="2:17" x14ac:dyDescent="0.2">
      <c r="B23" s="1" t="s">
        <v>140</v>
      </c>
      <c r="C23" t="s">
        <v>324</v>
      </c>
      <c r="D23" t="s">
        <v>326</v>
      </c>
      <c r="E23" s="1" t="s">
        <v>349</v>
      </c>
      <c r="H23" s="12" t="s">
        <v>166</v>
      </c>
      <c r="I23" s="11" t="s">
        <v>1611</v>
      </c>
      <c r="J23" s="12" t="s">
        <v>24</v>
      </c>
      <c r="K23" s="13">
        <v>15.2</v>
      </c>
      <c r="L23" s="12">
        <v>301</v>
      </c>
      <c r="M23" s="12">
        <v>425</v>
      </c>
      <c r="N23" s="13">
        <v>39</v>
      </c>
      <c r="O23" s="19">
        <v>339.15</v>
      </c>
      <c r="Q23" t="s">
        <v>825</v>
      </c>
    </row>
    <row r="24" spans="2:17" x14ac:dyDescent="0.2">
      <c r="B24" s="1" t="s">
        <v>141</v>
      </c>
      <c r="C24" t="s">
        <v>324</v>
      </c>
      <c r="D24" t="s">
        <v>326</v>
      </c>
      <c r="E24" s="1" t="s">
        <v>350</v>
      </c>
      <c r="H24" s="12" t="s">
        <v>648</v>
      </c>
      <c r="I24" s="11" t="s">
        <v>1612</v>
      </c>
      <c r="J24" s="12" t="s">
        <v>24</v>
      </c>
      <c r="K24" s="13">
        <v>15.7</v>
      </c>
      <c r="L24" s="12">
        <v>320</v>
      </c>
      <c r="M24" s="12">
        <v>445</v>
      </c>
      <c r="N24" s="13">
        <v>39</v>
      </c>
      <c r="O24" s="19">
        <v>400</v>
      </c>
      <c r="Q24" t="s">
        <v>826</v>
      </c>
    </row>
    <row r="25" spans="2:17" x14ac:dyDescent="0.2">
      <c r="B25" s="1" t="s">
        <v>142</v>
      </c>
      <c r="C25" t="s">
        <v>324</v>
      </c>
      <c r="D25" t="s">
        <v>326</v>
      </c>
      <c r="E25" s="1" t="s">
        <v>351</v>
      </c>
      <c r="H25" s="12" t="s">
        <v>16</v>
      </c>
      <c r="I25" s="11" t="s">
        <v>1613</v>
      </c>
      <c r="J25" s="12" t="s">
        <v>24</v>
      </c>
      <c r="K25" s="13">
        <v>16.5</v>
      </c>
      <c r="L25" s="12">
        <v>343</v>
      </c>
      <c r="M25" s="12">
        <v>475</v>
      </c>
      <c r="N25" s="13">
        <v>39</v>
      </c>
      <c r="O25" s="19">
        <v>459</v>
      </c>
      <c r="Q25" t="s">
        <v>827</v>
      </c>
    </row>
    <row r="26" spans="2:17" x14ac:dyDescent="0.2">
      <c r="B26" s="1" t="s">
        <v>143</v>
      </c>
      <c r="C26" t="s">
        <v>324</v>
      </c>
      <c r="D26" t="s">
        <v>326</v>
      </c>
      <c r="E26" s="1" t="s">
        <v>352</v>
      </c>
      <c r="H26" s="12" t="s">
        <v>18</v>
      </c>
      <c r="I26" s="11" t="s">
        <v>1614</v>
      </c>
      <c r="J26" s="12" t="s">
        <v>24</v>
      </c>
      <c r="K26" s="13">
        <v>18.399999999999999</v>
      </c>
      <c r="L26" s="12">
        <v>407</v>
      </c>
      <c r="M26" s="12">
        <v>575</v>
      </c>
      <c r="N26" s="13">
        <v>39</v>
      </c>
      <c r="O26" s="19">
        <v>540.5</v>
      </c>
      <c r="Q26" t="s">
        <v>828</v>
      </c>
    </row>
    <row r="27" spans="2:17" ht="3.6" customHeight="1" x14ac:dyDescent="0.2">
      <c r="B27"/>
      <c r="C27" s="1"/>
      <c r="E27"/>
      <c r="F27"/>
      <c r="G27"/>
      <c r="H27" s="15"/>
      <c r="I27" s="16"/>
      <c r="J27" s="15"/>
      <c r="K27" s="17"/>
      <c r="L27" s="15"/>
      <c r="M27" s="15"/>
      <c r="N27" s="17"/>
      <c r="O27" s="17"/>
    </row>
    <row r="28" spans="2:17" x14ac:dyDescent="0.2">
      <c r="B28" s="1" t="s">
        <v>145</v>
      </c>
      <c r="C28" t="s">
        <v>324</v>
      </c>
      <c r="D28" t="s">
        <v>326</v>
      </c>
      <c r="E28" s="1" t="s">
        <v>354</v>
      </c>
      <c r="H28" s="12" t="s">
        <v>25</v>
      </c>
      <c r="I28" s="11" t="s">
        <v>1615</v>
      </c>
      <c r="J28" s="12" t="s">
        <v>52</v>
      </c>
      <c r="K28" s="13">
        <v>6.2</v>
      </c>
      <c r="L28" s="12">
        <v>49</v>
      </c>
      <c r="M28" s="12">
        <v>65</v>
      </c>
      <c r="N28" s="13">
        <v>26</v>
      </c>
      <c r="O28" s="19">
        <v>52.58</v>
      </c>
      <c r="Q28" t="s">
        <v>829</v>
      </c>
    </row>
    <row r="29" spans="2:17" x14ac:dyDescent="0.2">
      <c r="B29" s="1" t="s">
        <v>146</v>
      </c>
      <c r="C29" t="s">
        <v>324</v>
      </c>
      <c r="D29" t="s">
        <v>326</v>
      </c>
      <c r="E29" s="1" t="s">
        <v>355</v>
      </c>
      <c r="H29" s="12" t="s">
        <v>26</v>
      </c>
      <c r="I29" s="11" t="s">
        <v>1616</v>
      </c>
      <c r="J29" s="12" t="s">
        <v>52</v>
      </c>
      <c r="K29" s="13">
        <v>6.7</v>
      </c>
      <c r="L29" s="12">
        <v>57</v>
      </c>
      <c r="M29" s="12">
        <v>80</v>
      </c>
      <c r="N29" s="13">
        <v>26</v>
      </c>
      <c r="O29" s="19">
        <v>64.599999999999994</v>
      </c>
      <c r="Q29" t="s">
        <v>830</v>
      </c>
    </row>
    <row r="30" spans="2:17" x14ac:dyDescent="0.2">
      <c r="B30" s="1" t="s">
        <v>147</v>
      </c>
      <c r="C30" t="s">
        <v>324</v>
      </c>
      <c r="D30" t="s">
        <v>326</v>
      </c>
      <c r="E30" s="1" t="s">
        <v>356</v>
      </c>
      <c r="H30" s="12" t="s">
        <v>27</v>
      </c>
      <c r="I30" s="11" t="s">
        <v>1617</v>
      </c>
      <c r="J30" s="12" t="s">
        <v>52</v>
      </c>
      <c r="K30" s="13">
        <v>7.4</v>
      </c>
      <c r="L30" s="12">
        <v>70</v>
      </c>
      <c r="M30" s="12">
        <v>95</v>
      </c>
      <c r="N30" s="13">
        <v>26</v>
      </c>
      <c r="O30" s="19">
        <v>85.53</v>
      </c>
      <c r="Q30" t="s">
        <v>831</v>
      </c>
    </row>
    <row r="31" spans="2:17" x14ac:dyDescent="0.2">
      <c r="B31" s="1" t="s">
        <v>148</v>
      </c>
      <c r="C31" t="s">
        <v>324</v>
      </c>
      <c r="D31" t="s">
        <v>326</v>
      </c>
      <c r="E31" s="1" t="s">
        <v>357</v>
      </c>
      <c r="H31" s="12" t="s">
        <v>28</v>
      </c>
      <c r="I31" s="11" t="s">
        <v>1618</v>
      </c>
      <c r="J31" s="12" t="s">
        <v>52</v>
      </c>
      <c r="K31" s="13">
        <v>8</v>
      </c>
      <c r="L31" s="12">
        <v>78</v>
      </c>
      <c r="M31" s="12">
        <v>115</v>
      </c>
      <c r="N31" s="13">
        <v>26</v>
      </c>
      <c r="O31" s="19">
        <v>99.9</v>
      </c>
      <c r="Q31" t="s">
        <v>832</v>
      </c>
    </row>
    <row r="32" spans="2:17" x14ac:dyDescent="0.2">
      <c r="B32" s="1" t="s">
        <v>94</v>
      </c>
      <c r="C32" t="s">
        <v>323</v>
      </c>
      <c r="D32" t="s">
        <v>325</v>
      </c>
      <c r="E32" s="1" t="s">
        <v>328</v>
      </c>
      <c r="H32" s="12" t="s">
        <v>29</v>
      </c>
      <c r="I32" s="11" t="s">
        <v>1619</v>
      </c>
      <c r="J32" s="12" t="s">
        <v>52</v>
      </c>
      <c r="K32" s="13">
        <v>8.6</v>
      </c>
      <c r="L32" s="12">
        <v>98</v>
      </c>
      <c r="M32" s="12">
        <v>130</v>
      </c>
      <c r="N32" s="13">
        <v>26</v>
      </c>
      <c r="O32" s="19">
        <v>109.24</v>
      </c>
      <c r="Q32" t="s">
        <v>833</v>
      </c>
    </row>
    <row r="33" spans="2:17" x14ac:dyDescent="0.2">
      <c r="B33" s="1" t="s">
        <v>95</v>
      </c>
      <c r="C33" t="s">
        <v>324</v>
      </c>
      <c r="D33" t="s">
        <v>326</v>
      </c>
      <c r="E33" s="1" t="s">
        <v>358</v>
      </c>
      <c r="H33" s="12" t="s">
        <v>30</v>
      </c>
      <c r="I33" s="11" t="s">
        <v>1620</v>
      </c>
      <c r="J33" s="12" t="s">
        <v>52</v>
      </c>
      <c r="K33" s="13">
        <v>9.1999999999999993</v>
      </c>
      <c r="L33" s="12">
        <v>106</v>
      </c>
      <c r="M33" s="12">
        <v>145</v>
      </c>
      <c r="N33" s="13">
        <v>26</v>
      </c>
      <c r="O33" s="19">
        <v>121</v>
      </c>
      <c r="Q33" t="s">
        <v>834</v>
      </c>
    </row>
    <row r="34" spans="2:17" x14ac:dyDescent="0.2">
      <c r="B34" s="1" t="s">
        <v>96</v>
      </c>
      <c r="C34" t="s">
        <v>324</v>
      </c>
      <c r="D34" t="s">
        <v>326</v>
      </c>
      <c r="E34" s="1" t="s">
        <v>359</v>
      </c>
      <c r="H34" s="12" t="s">
        <v>32</v>
      </c>
      <c r="I34" s="11" t="s">
        <v>1621</v>
      </c>
      <c r="J34" s="12" t="s">
        <v>52</v>
      </c>
      <c r="K34" s="13">
        <v>10.3</v>
      </c>
      <c r="L34" s="12">
        <v>140</v>
      </c>
      <c r="M34" s="12">
        <v>180</v>
      </c>
      <c r="N34" s="13">
        <v>26</v>
      </c>
      <c r="O34" s="19">
        <v>149.97999999999999</v>
      </c>
      <c r="Q34" t="s">
        <v>835</v>
      </c>
    </row>
    <row r="35" spans="2:17" x14ac:dyDescent="0.2">
      <c r="B35" s="1" t="s">
        <v>97</v>
      </c>
      <c r="C35" t="s">
        <v>324</v>
      </c>
      <c r="D35" t="s">
        <v>326</v>
      </c>
      <c r="E35" s="1" t="s">
        <v>360</v>
      </c>
      <c r="H35" s="12" t="s">
        <v>33</v>
      </c>
      <c r="I35" s="11" t="s">
        <v>1622</v>
      </c>
      <c r="J35" s="12" t="s">
        <v>52</v>
      </c>
      <c r="K35" s="13">
        <v>10.7</v>
      </c>
      <c r="L35" s="12">
        <v>151</v>
      </c>
      <c r="M35" s="12">
        <v>205</v>
      </c>
      <c r="N35" s="13">
        <v>26</v>
      </c>
      <c r="O35" s="19">
        <v>168.18</v>
      </c>
      <c r="Q35" t="s">
        <v>836</v>
      </c>
    </row>
    <row r="36" spans="2:17" x14ac:dyDescent="0.2">
      <c r="B36" s="1" t="s">
        <v>98</v>
      </c>
      <c r="C36" t="s">
        <v>324</v>
      </c>
      <c r="D36" t="s">
        <v>326</v>
      </c>
      <c r="E36" s="1" t="s">
        <v>361</v>
      </c>
      <c r="H36" s="12" t="s">
        <v>34</v>
      </c>
      <c r="I36" s="11" t="s">
        <v>1623</v>
      </c>
      <c r="J36" s="12" t="s">
        <v>52</v>
      </c>
      <c r="K36" s="13">
        <v>11.4</v>
      </c>
      <c r="L36" s="12">
        <v>162</v>
      </c>
      <c r="M36" s="12">
        <v>225</v>
      </c>
      <c r="N36" s="13">
        <v>26</v>
      </c>
      <c r="O36" s="19">
        <v>204.55</v>
      </c>
      <c r="Q36" t="s">
        <v>837</v>
      </c>
    </row>
    <row r="37" spans="2:17" x14ac:dyDescent="0.2">
      <c r="B37" s="1" t="s">
        <v>99</v>
      </c>
      <c r="C37" t="s">
        <v>324</v>
      </c>
      <c r="D37" t="s">
        <v>326</v>
      </c>
      <c r="E37" s="1" t="s">
        <v>362</v>
      </c>
      <c r="H37" s="12" t="s">
        <v>168</v>
      </c>
      <c r="I37" s="11" t="s">
        <v>1624</v>
      </c>
      <c r="J37" s="12" t="s">
        <v>52</v>
      </c>
      <c r="K37" s="13">
        <v>12</v>
      </c>
      <c r="L37" s="12">
        <v>172</v>
      </c>
      <c r="M37" s="12">
        <v>275</v>
      </c>
      <c r="N37" s="13">
        <v>26</v>
      </c>
      <c r="O37" s="19">
        <v>229</v>
      </c>
      <c r="Q37" t="s">
        <v>838</v>
      </c>
    </row>
    <row r="38" spans="2:17" x14ac:dyDescent="0.2">
      <c r="B38" s="1" t="s">
        <v>100</v>
      </c>
      <c r="C38" t="s">
        <v>324</v>
      </c>
      <c r="D38" t="s">
        <v>326</v>
      </c>
      <c r="E38" s="1" t="s">
        <v>363</v>
      </c>
      <c r="H38" s="12" t="s">
        <v>35</v>
      </c>
      <c r="I38" s="11" t="s">
        <v>1625</v>
      </c>
      <c r="J38" s="12" t="s">
        <v>52</v>
      </c>
      <c r="K38" s="13">
        <v>12.8</v>
      </c>
      <c r="L38" s="12">
        <v>207</v>
      </c>
      <c r="M38" s="12">
        <v>290</v>
      </c>
      <c r="N38" s="13">
        <v>26</v>
      </c>
      <c r="O38" s="19">
        <v>257.11</v>
      </c>
      <c r="Q38" t="s">
        <v>839</v>
      </c>
    </row>
    <row r="39" spans="2:17" x14ac:dyDescent="0.2">
      <c r="B39" s="1" t="s">
        <v>101</v>
      </c>
      <c r="C39" t="s">
        <v>324</v>
      </c>
      <c r="D39" t="s">
        <v>326</v>
      </c>
      <c r="E39" s="1" t="s">
        <v>364</v>
      </c>
      <c r="H39" s="12" t="s">
        <v>36</v>
      </c>
      <c r="I39" s="11" t="s">
        <v>1626</v>
      </c>
      <c r="J39" s="12" t="s">
        <v>52</v>
      </c>
      <c r="K39" s="13">
        <v>13.4</v>
      </c>
      <c r="L39" s="12">
        <v>220</v>
      </c>
      <c r="M39" s="12">
        <v>320</v>
      </c>
      <c r="N39" s="13">
        <v>26</v>
      </c>
      <c r="O39" s="19">
        <v>279.60000000000002</v>
      </c>
      <c r="Q39" t="s">
        <v>840</v>
      </c>
    </row>
    <row r="40" spans="2:17" x14ac:dyDescent="0.2">
      <c r="B40" s="1" t="s">
        <v>102</v>
      </c>
      <c r="C40" t="s">
        <v>324</v>
      </c>
      <c r="D40" t="s">
        <v>326</v>
      </c>
      <c r="E40" s="1" t="s">
        <v>365</v>
      </c>
      <c r="H40" s="12" t="s">
        <v>649</v>
      </c>
      <c r="I40" s="11" t="s">
        <v>1627</v>
      </c>
      <c r="J40" s="12" t="s">
        <v>52</v>
      </c>
      <c r="K40" s="13">
        <v>15.5</v>
      </c>
      <c r="L40" s="12">
        <v>250</v>
      </c>
      <c r="M40" s="12">
        <v>415</v>
      </c>
      <c r="N40" s="13">
        <v>26</v>
      </c>
      <c r="O40" s="19">
        <f>O41/25*24</f>
        <v>351.8784</v>
      </c>
      <c r="Q40" t="s">
        <v>841</v>
      </c>
    </row>
    <row r="41" spans="2:17" x14ac:dyDescent="0.2">
      <c r="B41" s="1" t="s">
        <v>103</v>
      </c>
      <c r="C41" t="s">
        <v>324</v>
      </c>
      <c r="D41" t="s">
        <v>326</v>
      </c>
      <c r="E41" s="1" t="s">
        <v>366</v>
      </c>
      <c r="H41" s="12" t="s">
        <v>38</v>
      </c>
      <c r="I41" s="11" t="s">
        <v>1628</v>
      </c>
      <c r="J41" s="12" t="s">
        <v>52</v>
      </c>
      <c r="K41" s="13">
        <v>15.6</v>
      </c>
      <c r="L41" s="12">
        <v>271</v>
      </c>
      <c r="M41" s="12">
        <v>435</v>
      </c>
      <c r="N41" s="13">
        <v>26</v>
      </c>
      <c r="O41" s="19">
        <v>366.54</v>
      </c>
      <c r="Q41" t="s">
        <v>842</v>
      </c>
    </row>
    <row r="42" spans="2:17" x14ac:dyDescent="0.2">
      <c r="B42" s="1" t="s">
        <v>149</v>
      </c>
      <c r="C42" t="s">
        <v>324</v>
      </c>
      <c r="D42" t="s">
        <v>326</v>
      </c>
      <c r="E42" s="1" t="s">
        <v>367</v>
      </c>
      <c r="H42" s="12" t="s">
        <v>39</v>
      </c>
      <c r="I42" s="11" t="s">
        <v>1629</v>
      </c>
      <c r="J42" s="12" t="s">
        <v>52</v>
      </c>
      <c r="K42" s="13">
        <v>16.100000000000001</v>
      </c>
      <c r="L42" s="12">
        <v>297</v>
      </c>
      <c r="M42" s="12">
        <v>450</v>
      </c>
      <c r="N42" s="13">
        <v>26</v>
      </c>
      <c r="O42" s="19">
        <v>439</v>
      </c>
      <c r="Q42" t="s">
        <v>843</v>
      </c>
    </row>
    <row r="43" spans="2:17" x14ac:dyDescent="0.2">
      <c r="B43" s="1" t="s">
        <v>150</v>
      </c>
      <c r="C43" t="s">
        <v>324</v>
      </c>
      <c r="D43" t="s">
        <v>326</v>
      </c>
      <c r="E43" s="1" t="s">
        <v>368</v>
      </c>
      <c r="H43" s="12" t="s">
        <v>41</v>
      </c>
      <c r="I43" s="11" t="s">
        <v>1630</v>
      </c>
      <c r="J43" s="12" t="s">
        <v>52</v>
      </c>
      <c r="K43" s="13">
        <v>16.600000000000001</v>
      </c>
      <c r="L43" s="12">
        <v>330</v>
      </c>
      <c r="M43" s="12">
        <v>485</v>
      </c>
      <c r="N43" s="13">
        <v>26</v>
      </c>
      <c r="O43" s="19">
        <v>491.93</v>
      </c>
      <c r="Q43" t="s">
        <v>844</v>
      </c>
    </row>
    <row r="44" spans="2:17" x14ac:dyDescent="0.2">
      <c r="B44" s="1" t="s">
        <v>151</v>
      </c>
      <c r="C44" t="s">
        <v>324</v>
      </c>
      <c r="D44" t="s">
        <v>326</v>
      </c>
      <c r="E44" s="1" t="s">
        <v>369</v>
      </c>
      <c r="H44" s="12" t="s">
        <v>42</v>
      </c>
      <c r="I44" s="11" t="s">
        <v>1631</v>
      </c>
      <c r="J44" s="12" t="s">
        <v>52</v>
      </c>
      <c r="K44" s="13">
        <v>17.2</v>
      </c>
      <c r="L44" s="12">
        <v>370</v>
      </c>
      <c r="M44" s="12">
        <v>535</v>
      </c>
      <c r="N44" s="13">
        <v>26</v>
      </c>
      <c r="O44" s="19">
        <v>498</v>
      </c>
      <c r="Q44" t="s">
        <v>845</v>
      </c>
    </row>
    <row r="45" spans="2:17" x14ac:dyDescent="0.2">
      <c r="B45" s="1" t="s">
        <v>152</v>
      </c>
      <c r="C45" t="s">
        <v>324</v>
      </c>
      <c r="D45" t="s">
        <v>326</v>
      </c>
      <c r="E45" s="1" t="s">
        <v>370</v>
      </c>
      <c r="H45" s="12" t="s">
        <v>46</v>
      </c>
      <c r="I45" s="11" t="s">
        <v>1632</v>
      </c>
      <c r="J45" s="12" t="s">
        <v>52</v>
      </c>
      <c r="K45" s="13">
        <v>18.8</v>
      </c>
      <c r="L45" s="12">
        <v>430</v>
      </c>
      <c r="M45" s="12">
        <v>610</v>
      </c>
      <c r="N45" s="13">
        <v>26</v>
      </c>
      <c r="O45" s="19">
        <f>O46/50*42</f>
        <v>575.4</v>
      </c>
      <c r="Q45" t="s">
        <v>846</v>
      </c>
    </row>
    <row r="46" spans="2:17" x14ac:dyDescent="0.2">
      <c r="B46" s="1" t="s">
        <v>153</v>
      </c>
      <c r="C46" t="s">
        <v>324</v>
      </c>
      <c r="D46" t="s">
        <v>326</v>
      </c>
      <c r="E46" s="1" t="s">
        <v>371</v>
      </c>
      <c r="H46" s="12" t="s">
        <v>47</v>
      </c>
      <c r="I46" s="11" t="s">
        <v>1633</v>
      </c>
      <c r="J46" s="12" t="s">
        <v>52</v>
      </c>
      <c r="K46" s="13">
        <v>20.8</v>
      </c>
      <c r="L46" s="12">
        <v>480</v>
      </c>
      <c r="M46" s="12">
        <v>775</v>
      </c>
      <c r="N46" s="13">
        <v>26</v>
      </c>
      <c r="O46" s="19">
        <v>685</v>
      </c>
      <c r="Q46" t="s">
        <v>847</v>
      </c>
    </row>
    <row r="47" spans="2:17" ht="3.6" customHeight="1" x14ac:dyDescent="0.2">
      <c r="B47"/>
      <c r="C47" s="1"/>
      <c r="E47"/>
      <c r="F47"/>
      <c r="G47"/>
      <c r="H47" s="15"/>
      <c r="I47" s="16"/>
      <c r="J47" s="15"/>
      <c r="K47" s="17"/>
      <c r="L47" s="15"/>
      <c r="M47" s="15"/>
      <c r="N47" s="17"/>
      <c r="O47" s="20"/>
    </row>
    <row r="48" spans="2:17" x14ac:dyDescent="0.2">
      <c r="B48" s="1" t="s">
        <v>154</v>
      </c>
      <c r="C48" t="s">
        <v>324</v>
      </c>
      <c r="D48" t="s">
        <v>326</v>
      </c>
      <c r="E48" s="1" t="s">
        <v>372</v>
      </c>
      <c r="H48" s="12" t="s">
        <v>204</v>
      </c>
      <c r="I48" s="11" t="s">
        <v>1634</v>
      </c>
      <c r="J48" s="12" t="s">
        <v>84</v>
      </c>
      <c r="K48" s="13">
        <v>6.7</v>
      </c>
      <c r="L48" s="12">
        <v>55</v>
      </c>
      <c r="M48" s="12">
        <v>65</v>
      </c>
      <c r="N48" s="13">
        <v>19.5</v>
      </c>
      <c r="O48" s="19">
        <v>52</v>
      </c>
      <c r="Q48" t="s">
        <v>848</v>
      </c>
    </row>
    <row r="49" spans="2:17" x14ac:dyDescent="0.2">
      <c r="B49" s="1" t="s">
        <v>155</v>
      </c>
      <c r="C49" t="s">
        <v>324</v>
      </c>
      <c r="D49" t="s">
        <v>326</v>
      </c>
      <c r="E49" s="1" t="s">
        <v>373</v>
      </c>
      <c r="H49" s="12" t="s">
        <v>53</v>
      </c>
      <c r="I49" s="11" t="s">
        <v>1635</v>
      </c>
      <c r="J49" s="12" t="s">
        <v>84</v>
      </c>
      <c r="K49" s="13">
        <v>7</v>
      </c>
      <c r="L49" s="12">
        <v>70</v>
      </c>
      <c r="M49" s="12">
        <v>80</v>
      </c>
      <c r="N49" s="13">
        <v>19.5</v>
      </c>
      <c r="O49" s="19">
        <v>63.53</v>
      </c>
      <c r="Q49" t="s">
        <v>849</v>
      </c>
    </row>
    <row r="50" spans="2:17" x14ac:dyDescent="0.2">
      <c r="B50" s="1" t="s">
        <v>156</v>
      </c>
      <c r="C50" t="s">
        <v>324</v>
      </c>
      <c r="D50" t="s">
        <v>326</v>
      </c>
      <c r="E50" s="1" t="s">
        <v>374</v>
      </c>
      <c r="H50" s="12" t="s">
        <v>54</v>
      </c>
      <c r="I50" s="11" t="s">
        <v>1636</v>
      </c>
      <c r="J50" s="12" t="s">
        <v>84</v>
      </c>
      <c r="K50" s="13">
        <v>7.1</v>
      </c>
      <c r="L50" s="12">
        <v>80</v>
      </c>
      <c r="M50" s="12">
        <v>100</v>
      </c>
      <c r="N50" s="13">
        <v>19.5</v>
      </c>
      <c r="O50" s="19">
        <v>76.84</v>
      </c>
      <c r="Q50" t="s">
        <v>850</v>
      </c>
    </row>
    <row r="51" spans="2:17" x14ac:dyDescent="0.2">
      <c r="B51" s="1" t="s">
        <v>157</v>
      </c>
      <c r="C51" t="s">
        <v>324</v>
      </c>
      <c r="D51" t="s">
        <v>326</v>
      </c>
      <c r="E51" s="1" t="s">
        <v>375</v>
      </c>
      <c r="H51" s="12" t="s">
        <v>55</v>
      </c>
      <c r="I51" s="11" t="s">
        <v>1637</v>
      </c>
      <c r="J51" s="12" t="s">
        <v>84</v>
      </c>
      <c r="K51" s="13">
        <v>8.5</v>
      </c>
      <c r="L51" s="12">
        <v>95</v>
      </c>
      <c r="M51" s="12">
        <v>130</v>
      </c>
      <c r="N51" s="13">
        <v>19.5</v>
      </c>
      <c r="O51" s="19">
        <v>101.2</v>
      </c>
      <c r="Q51" t="s">
        <v>851</v>
      </c>
    </row>
    <row r="52" spans="2:17" x14ac:dyDescent="0.2">
      <c r="B52" s="1" t="s">
        <v>158</v>
      </c>
      <c r="C52" t="s">
        <v>324</v>
      </c>
      <c r="D52" t="s">
        <v>326</v>
      </c>
      <c r="E52" s="1" t="s">
        <v>376</v>
      </c>
      <c r="H52" s="12" t="s">
        <v>56</v>
      </c>
      <c r="I52" s="11" t="s">
        <v>1638</v>
      </c>
      <c r="J52" s="12" t="s">
        <v>84</v>
      </c>
      <c r="K52" s="13">
        <v>9.1</v>
      </c>
      <c r="L52" s="12">
        <v>105</v>
      </c>
      <c r="M52" s="12">
        <v>145</v>
      </c>
      <c r="N52" s="13">
        <v>19.5</v>
      </c>
      <c r="O52" s="19">
        <v>116</v>
      </c>
      <c r="Q52" t="s">
        <v>852</v>
      </c>
    </row>
    <row r="53" spans="2:17" x14ac:dyDescent="0.2">
      <c r="B53" s="1" t="s">
        <v>159</v>
      </c>
      <c r="C53" t="s">
        <v>324</v>
      </c>
      <c r="D53" t="s">
        <v>326</v>
      </c>
      <c r="E53" s="1" t="s">
        <v>377</v>
      </c>
      <c r="H53" s="12" t="s">
        <v>57</v>
      </c>
      <c r="I53" s="11" t="s">
        <v>1639</v>
      </c>
      <c r="J53" s="12" t="s">
        <v>84</v>
      </c>
      <c r="K53" s="13">
        <v>9.6999999999999993</v>
      </c>
      <c r="L53" s="12">
        <v>120</v>
      </c>
      <c r="M53" s="12">
        <v>160</v>
      </c>
      <c r="N53" s="13">
        <v>19.5</v>
      </c>
      <c r="O53" s="19">
        <v>129.18</v>
      </c>
      <c r="Q53" t="s">
        <v>853</v>
      </c>
    </row>
    <row r="54" spans="2:17" x14ac:dyDescent="0.2">
      <c r="B54" s="1" t="s">
        <v>160</v>
      </c>
      <c r="C54" t="s">
        <v>324</v>
      </c>
      <c r="D54" t="s">
        <v>326</v>
      </c>
      <c r="E54" s="1" t="s">
        <v>378</v>
      </c>
      <c r="H54" s="12" t="s">
        <v>58</v>
      </c>
      <c r="I54" s="11" t="s">
        <v>1640</v>
      </c>
      <c r="J54" s="12" t="s">
        <v>84</v>
      </c>
      <c r="K54" s="13">
        <v>11</v>
      </c>
      <c r="L54" s="12">
        <v>130</v>
      </c>
      <c r="M54" s="12">
        <v>200</v>
      </c>
      <c r="N54" s="13">
        <v>19.5</v>
      </c>
      <c r="O54" s="19">
        <v>168</v>
      </c>
      <c r="Q54" t="s">
        <v>854</v>
      </c>
    </row>
    <row r="55" spans="2:17" x14ac:dyDescent="0.2">
      <c r="B55" s="1" t="s">
        <v>161</v>
      </c>
      <c r="C55" t="s">
        <v>324</v>
      </c>
      <c r="D55" t="s">
        <v>326</v>
      </c>
      <c r="E55" s="1" t="s">
        <v>379</v>
      </c>
      <c r="H55" s="12" t="s">
        <v>60</v>
      </c>
      <c r="I55" s="11" t="s">
        <v>1641</v>
      </c>
      <c r="J55" s="12" t="s">
        <v>84</v>
      </c>
      <c r="K55" s="13">
        <v>12</v>
      </c>
      <c r="L55" s="12">
        <v>138</v>
      </c>
      <c r="M55" s="12">
        <v>230</v>
      </c>
      <c r="N55" s="13">
        <v>19.5</v>
      </c>
      <c r="O55" s="19">
        <v>183.11</v>
      </c>
      <c r="Q55" t="s">
        <v>855</v>
      </c>
    </row>
    <row r="56" spans="2:17" x14ac:dyDescent="0.2">
      <c r="B56" s="1" t="s">
        <v>162</v>
      </c>
      <c r="C56" t="s">
        <v>324</v>
      </c>
      <c r="D56" t="s">
        <v>326</v>
      </c>
      <c r="E56" s="1" t="s">
        <v>380</v>
      </c>
      <c r="H56" s="12" t="s">
        <v>61</v>
      </c>
      <c r="I56" s="11" t="s">
        <v>1642</v>
      </c>
      <c r="J56" s="12" t="s">
        <v>84</v>
      </c>
      <c r="K56" s="13">
        <v>12.4</v>
      </c>
      <c r="L56" s="12">
        <v>186</v>
      </c>
      <c r="M56" s="12">
        <v>260</v>
      </c>
      <c r="N56" s="13">
        <v>19.5</v>
      </c>
      <c r="O56" s="19">
        <v>282.52999999999997</v>
      </c>
      <c r="Q56" t="s">
        <v>856</v>
      </c>
    </row>
    <row r="57" spans="2:17" x14ac:dyDescent="0.2">
      <c r="B57" s="1" t="s">
        <v>163</v>
      </c>
      <c r="C57" t="s">
        <v>324</v>
      </c>
      <c r="D57" t="s">
        <v>326</v>
      </c>
      <c r="E57" s="1" t="s">
        <v>381</v>
      </c>
      <c r="H57" s="12" t="s">
        <v>62</v>
      </c>
      <c r="I57" s="11" t="s">
        <v>1643</v>
      </c>
      <c r="J57" s="12" t="s">
        <v>84</v>
      </c>
      <c r="K57" s="13">
        <v>13</v>
      </c>
      <c r="L57" s="12">
        <v>198</v>
      </c>
      <c r="M57" s="12">
        <v>300</v>
      </c>
      <c r="N57" s="13">
        <v>19.5</v>
      </c>
      <c r="O57" s="19">
        <v>233</v>
      </c>
      <c r="Q57" t="s">
        <v>857</v>
      </c>
    </row>
    <row r="58" spans="2:17" x14ac:dyDescent="0.2">
      <c r="B58" s="1" t="s">
        <v>173</v>
      </c>
      <c r="C58" t="s">
        <v>324</v>
      </c>
      <c r="D58" t="s">
        <v>326</v>
      </c>
      <c r="E58" s="1" t="s">
        <v>382</v>
      </c>
      <c r="H58" s="12" t="s">
        <v>63</v>
      </c>
      <c r="I58" s="11" t="s">
        <v>1644</v>
      </c>
      <c r="J58" s="12" t="s">
        <v>84</v>
      </c>
      <c r="K58" s="13">
        <v>13.9</v>
      </c>
      <c r="L58" s="12">
        <v>203</v>
      </c>
      <c r="M58" s="12">
        <v>345</v>
      </c>
      <c r="N58" s="13">
        <v>19.5</v>
      </c>
      <c r="O58" s="19">
        <v>282</v>
      </c>
      <c r="Q58" t="s">
        <v>858</v>
      </c>
    </row>
    <row r="59" spans="2:17" x14ac:dyDescent="0.2">
      <c r="B59" s="1" t="s">
        <v>174</v>
      </c>
      <c r="C59" t="s">
        <v>324</v>
      </c>
      <c r="D59" t="s">
        <v>326</v>
      </c>
      <c r="E59" s="1" t="s">
        <v>383</v>
      </c>
      <c r="H59" s="12" t="s">
        <v>64</v>
      </c>
      <c r="I59" s="11" t="s">
        <v>1645</v>
      </c>
      <c r="J59" s="12" t="s">
        <v>84</v>
      </c>
      <c r="K59" s="13">
        <v>14.5</v>
      </c>
      <c r="L59" s="12">
        <v>245</v>
      </c>
      <c r="M59" s="12">
        <v>380</v>
      </c>
      <c r="N59" s="13">
        <v>19.5</v>
      </c>
      <c r="O59" s="19">
        <v>308.52999999999997</v>
      </c>
      <c r="Q59" t="s">
        <v>859</v>
      </c>
    </row>
    <row r="60" spans="2:17" x14ac:dyDescent="0.2">
      <c r="B60" s="1" t="s">
        <v>175</v>
      </c>
      <c r="C60" t="s">
        <v>324</v>
      </c>
      <c r="D60" t="s">
        <v>326</v>
      </c>
      <c r="E60" s="1" t="s">
        <v>384</v>
      </c>
      <c r="H60" s="12" t="s">
        <v>66</v>
      </c>
      <c r="I60" s="11" t="s">
        <v>1646</v>
      </c>
      <c r="J60" s="12" t="s">
        <v>84</v>
      </c>
      <c r="K60" s="13">
        <v>15.8</v>
      </c>
      <c r="L60" s="12">
        <v>286</v>
      </c>
      <c r="M60" s="12">
        <v>440</v>
      </c>
      <c r="N60" s="13">
        <v>19.5</v>
      </c>
      <c r="O60" s="19">
        <v>338.1</v>
      </c>
      <c r="Q60" t="s">
        <v>860</v>
      </c>
    </row>
    <row r="61" spans="2:17" x14ac:dyDescent="0.2">
      <c r="B61" s="1" t="s">
        <v>176</v>
      </c>
      <c r="C61" t="s">
        <v>324</v>
      </c>
      <c r="D61" t="s">
        <v>326</v>
      </c>
      <c r="E61" s="1" t="s">
        <v>385</v>
      </c>
      <c r="H61" s="12" t="s">
        <v>68</v>
      </c>
      <c r="I61" s="11" t="s">
        <v>1647</v>
      </c>
      <c r="J61" s="12" t="s">
        <v>84</v>
      </c>
      <c r="K61" s="13">
        <v>16.2</v>
      </c>
      <c r="L61" s="12">
        <v>345</v>
      </c>
      <c r="M61" s="12">
        <v>495</v>
      </c>
      <c r="N61" s="13">
        <v>19.5</v>
      </c>
      <c r="O61" s="19">
        <v>388</v>
      </c>
      <c r="Q61" t="s">
        <v>861</v>
      </c>
    </row>
    <row r="62" spans="2:17" x14ac:dyDescent="0.2">
      <c r="B62" s="1" t="s">
        <v>104</v>
      </c>
      <c r="C62" t="s">
        <v>323</v>
      </c>
      <c r="D62" t="s">
        <v>325</v>
      </c>
      <c r="E62" s="1" t="s">
        <v>329</v>
      </c>
      <c r="H62" s="12" t="s">
        <v>69</v>
      </c>
      <c r="I62" s="11" t="s">
        <v>1648</v>
      </c>
      <c r="J62" s="12" t="s">
        <v>84</v>
      </c>
      <c r="K62" s="13">
        <v>18</v>
      </c>
      <c r="L62" s="12">
        <v>360</v>
      </c>
      <c r="M62" s="12">
        <v>535</v>
      </c>
      <c r="N62" s="12">
        <v>19.5</v>
      </c>
      <c r="O62" s="19">
        <v>400.18</v>
      </c>
      <c r="Q62" t="s">
        <v>862</v>
      </c>
    </row>
    <row r="63" spans="2:17" x14ac:dyDescent="0.2">
      <c r="B63" s="1" t="s">
        <v>105</v>
      </c>
      <c r="C63" t="s">
        <v>324</v>
      </c>
      <c r="D63" t="s">
        <v>326</v>
      </c>
      <c r="E63" s="1" t="s">
        <v>386</v>
      </c>
      <c r="H63" s="12" t="s">
        <v>72</v>
      </c>
      <c r="I63" s="11" t="s">
        <v>1649</v>
      </c>
      <c r="J63" s="12" t="s">
        <v>84</v>
      </c>
      <c r="K63" s="13">
        <v>20.6</v>
      </c>
      <c r="L63" s="12">
        <v>440</v>
      </c>
      <c r="M63" s="12">
        <v>740</v>
      </c>
      <c r="N63" s="12">
        <v>19.5</v>
      </c>
      <c r="O63" s="19">
        <v>544.24</v>
      </c>
      <c r="Q63" t="s">
        <v>863</v>
      </c>
    </row>
    <row r="64" spans="2:17" x14ac:dyDescent="0.2">
      <c r="B64" s="1" t="s">
        <v>106</v>
      </c>
      <c r="C64" t="s">
        <v>324</v>
      </c>
      <c r="D64" t="s">
        <v>326</v>
      </c>
      <c r="E64" s="1" t="s">
        <v>387</v>
      </c>
      <c r="H64" s="12" t="s">
        <v>78</v>
      </c>
      <c r="I64" s="11" t="s">
        <v>1650</v>
      </c>
      <c r="J64" s="12" t="s">
        <v>84</v>
      </c>
      <c r="K64" s="13">
        <v>24.2</v>
      </c>
      <c r="L64" s="12">
        <v>626</v>
      </c>
      <c r="M64" s="12">
        <v>1025</v>
      </c>
      <c r="N64" s="12">
        <v>19.5</v>
      </c>
      <c r="O64" s="19">
        <v>923</v>
      </c>
      <c r="Q64" t="s">
        <v>864</v>
      </c>
    </row>
    <row r="65" spans="2:17" ht="3.6" customHeight="1" x14ac:dyDescent="0.2">
      <c r="B65"/>
      <c r="C65" s="1"/>
      <c r="E65"/>
      <c r="F65"/>
      <c r="G65"/>
      <c r="H65" s="15"/>
      <c r="I65" s="16"/>
      <c r="J65" s="15"/>
      <c r="K65" s="17"/>
      <c r="L65" s="15"/>
      <c r="M65" s="15"/>
      <c r="N65" s="17"/>
      <c r="O65" s="20"/>
    </row>
    <row r="66" spans="2:17" x14ac:dyDescent="0.2">
      <c r="B66" s="1" t="s">
        <v>107</v>
      </c>
      <c r="C66" t="s">
        <v>324</v>
      </c>
      <c r="D66" t="s">
        <v>326</v>
      </c>
      <c r="E66" s="1" t="s">
        <v>388</v>
      </c>
      <c r="H66" s="12" t="s">
        <v>205</v>
      </c>
      <c r="I66" s="11" t="s">
        <v>1651</v>
      </c>
      <c r="J66" s="12" t="s">
        <v>220</v>
      </c>
      <c r="K66" s="13">
        <v>7.3</v>
      </c>
      <c r="L66" s="12">
        <v>65</v>
      </c>
      <c r="M66" s="12">
        <v>90</v>
      </c>
      <c r="N66" s="12">
        <v>13.3</v>
      </c>
      <c r="O66" s="19">
        <v>67.33</v>
      </c>
      <c r="Q66" t="s">
        <v>865</v>
      </c>
    </row>
    <row r="67" spans="2:17" x14ac:dyDescent="0.2">
      <c r="B67" s="1" t="s">
        <v>108</v>
      </c>
      <c r="C67" t="s">
        <v>324</v>
      </c>
      <c r="D67" t="s">
        <v>326</v>
      </c>
      <c r="E67" s="1" t="s">
        <v>389</v>
      </c>
      <c r="H67" s="12" t="s">
        <v>206</v>
      </c>
      <c r="I67" s="11" t="s">
        <v>1652</v>
      </c>
      <c r="J67" s="12" t="s">
        <v>220</v>
      </c>
      <c r="K67" s="13">
        <v>7.7</v>
      </c>
      <c r="L67" s="12">
        <v>90</v>
      </c>
      <c r="M67" s="12">
        <v>100</v>
      </c>
      <c r="N67" s="12">
        <v>13.3</v>
      </c>
      <c r="O67" s="19">
        <v>83.44</v>
      </c>
      <c r="Q67" t="s">
        <v>866</v>
      </c>
    </row>
    <row r="68" spans="2:17" x14ac:dyDescent="0.2">
      <c r="B68" s="1" t="s">
        <v>109</v>
      </c>
      <c r="C68" t="s">
        <v>324</v>
      </c>
      <c r="D68" t="s">
        <v>326</v>
      </c>
      <c r="E68" s="1" t="s">
        <v>390</v>
      </c>
      <c r="H68" s="12" t="s">
        <v>207</v>
      </c>
      <c r="I68" s="11" t="s">
        <v>1653</v>
      </c>
      <c r="J68" s="12" t="s">
        <v>220</v>
      </c>
      <c r="K68" s="13">
        <v>8.3000000000000007</v>
      </c>
      <c r="L68" s="12">
        <v>110</v>
      </c>
      <c r="M68" s="12">
        <v>125</v>
      </c>
      <c r="N68" s="12">
        <v>13.3</v>
      </c>
      <c r="O68" s="19">
        <v>104.11</v>
      </c>
      <c r="Q68" t="s">
        <v>867</v>
      </c>
    </row>
    <row r="69" spans="2:17" x14ac:dyDescent="0.2">
      <c r="B69" s="1" t="s">
        <v>110</v>
      </c>
      <c r="C69" t="s">
        <v>324</v>
      </c>
      <c r="D69" t="s">
        <v>326</v>
      </c>
      <c r="E69" s="1" t="s">
        <v>391</v>
      </c>
      <c r="H69" s="12" t="s">
        <v>208</v>
      </c>
      <c r="I69" s="11" t="s">
        <v>1654</v>
      </c>
      <c r="J69" s="12" t="s">
        <v>220</v>
      </c>
      <c r="K69" s="13">
        <v>9.4</v>
      </c>
      <c r="L69" s="12">
        <v>125</v>
      </c>
      <c r="M69" s="12">
        <v>160</v>
      </c>
      <c r="N69" s="12">
        <v>13.3</v>
      </c>
      <c r="O69" s="19">
        <v>135.91</v>
      </c>
      <c r="Q69" t="s">
        <v>868</v>
      </c>
    </row>
    <row r="70" spans="2:17" x14ac:dyDescent="0.2">
      <c r="B70" s="1" t="s">
        <v>111</v>
      </c>
      <c r="C70" t="s">
        <v>324</v>
      </c>
      <c r="D70" t="s">
        <v>326</v>
      </c>
      <c r="E70" s="1" t="s">
        <v>392</v>
      </c>
      <c r="H70" s="12" t="s">
        <v>210</v>
      </c>
      <c r="I70" s="11" t="s">
        <v>1655</v>
      </c>
      <c r="J70" s="12" t="s">
        <v>220</v>
      </c>
      <c r="K70" s="13">
        <v>10.7</v>
      </c>
      <c r="L70" s="12">
        <v>159</v>
      </c>
      <c r="M70" s="12">
        <v>210</v>
      </c>
      <c r="N70" s="12">
        <v>13.3</v>
      </c>
      <c r="O70" s="19">
        <v>175.56</v>
      </c>
      <c r="Q70" t="s">
        <v>869</v>
      </c>
    </row>
    <row r="71" spans="2:17" x14ac:dyDescent="0.2">
      <c r="B71" s="1" t="s">
        <v>112</v>
      </c>
      <c r="C71" t="s">
        <v>324</v>
      </c>
      <c r="D71" t="s">
        <v>326</v>
      </c>
      <c r="E71" s="1" t="s">
        <v>393</v>
      </c>
      <c r="H71" s="12" t="s">
        <v>211</v>
      </c>
      <c r="I71" s="11" t="s">
        <v>1656</v>
      </c>
      <c r="J71" s="12" t="s">
        <v>220</v>
      </c>
      <c r="K71" s="13">
        <v>12</v>
      </c>
      <c r="L71" s="12">
        <v>172</v>
      </c>
      <c r="M71" s="12">
        <v>245</v>
      </c>
      <c r="N71" s="12">
        <v>13.3</v>
      </c>
      <c r="O71" s="19">
        <v>199</v>
      </c>
      <c r="Q71" t="s">
        <v>870</v>
      </c>
    </row>
    <row r="72" spans="2:17" x14ac:dyDescent="0.2">
      <c r="B72" s="1" t="s">
        <v>113</v>
      </c>
      <c r="C72" t="s">
        <v>324</v>
      </c>
      <c r="D72" t="s">
        <v>326</v>
      </c>
      <c r="E72" s="1" t="s">
        <v>394</v>
      </c>
      <c r="H72" s="12" t="s">
        <v>213</v>
      </c>
      <c r="I72" s="11" t="s">
        <v>1657</v>
      </c>
      <c r="J72" s="12" t="s">
        <v>220</v>
      </c>
      <c r="K72" s="13">
        <v>13.4</v>
      </c>
      <c r="L72" s="12">
        <v>193</v>
      </c>
      <c r="M72" s="12">
        <v>315</v>
      </c>
      <c r="N72" s="12">
        <v>13.3</v>
      </c>
      <c r="O72" s="19">
        <v>247.22</v>
      </c>
      <c r="Q72" t="s">
        <v>871</v>
      </c>
    </row>
    <row r="73" spans="2:17" x14ac:dyDescent="0.2">
      <c r="B73" s="1" t="s">
        <v>177</v>
      </c>
      <c r="C73" t="s">
        <v>324</v>
      </c>
      <c r="D73" t="s">
        <v>326</v>
      </c>
      <c r="E73" s="1" t="s">
        <v>395</v>
      </c>
      <c r="H73" s="12" t="s">
        <v>214</v>
      </c>
      <c r="I73" s="11" t="s">
        <v>1658</v>
      </c>
      <c r="J73" s="12" t="s">
        <v>220</v>
      </c>
      <c r="K73" s="13">
        <v>13.6</v>
      </c>
      <c r="L73" s="12">
        <v>254</v>
      </c>
      <c r="M73" s="12">
        <v>340</v>
      </c>
      <c r="N73" s="12">
        <v>13.3</v>
      </c>
      <c r="O73" s="19">
        <v>282.52999999999997</v>
      </c>
      <c r="Q73" t="s">
        <v>872</v>
      </c>
    </row>
    <row r="74" spans="2:17" x14ac:dyDescent="0.2">
      <c r="B74" s="1" t="s">
        <v>178</v>
      </c>
      <c r="C74" t="s">
        <v>324</v>
      </c>
      <c r="D74" t="s">
        <v>326</v>
      </c>
      <c r="E74" s="1" t="s">
        <v>396</v>
      </c>
      <c r="H74" s="12" t="s">
        <v>215</v>
      </c>
      <c r="I74" s="11" t="s">
        <v>1659</v>
      </c>
      <c r="J74" s="12" t="s">
        <v>220</v>
      </c>
      <c r="K74" s="13">
        <v>14.5</v>
      </c>
      <c r="L74" s="12">
        <v>310</v>
      </c>
      <c r="M74" s="12">
        <v>480</v>
      </c>
      <c r="N74" s="12">
        <v>13.3</v>
      </c>
      <c r="O74" s="19">
        <v>320</v>
      </c>
      <c r="Q74" t="s">
        <v>873</v>
      </c>
    </row>
    <row r="75" spans="2:17" x14ac:dyDescent="0.2">
      <c r="B75" s="1" t="s">
        <v>179</v>
      </c>
      <c r="C75" t="s">
        <v>324</v>
      </c>
      <c r="D75" t="s">
        <v>326</v>
      </c>
      <c r="E75" s="1" t="s">
        <v>397</v>
      </c>
      <c r="H75" s="12" t="s">
        <v>216</v>
      </c>
      <c r="I75" s="11" t="s">
        <v>1660</v>
      </c>
      <c r="J75" s="12" t="s">
        <v>220</v>
      </c>
      <c r="K75" s="13">
        <v>15.4</v>
      </c>
      <c r="L75" s="12">
        <v>342</v>
      </c>
      <c r="M75" s="12">
        <v>540</v>
      </c>
      <c r="N75" s="12">
        <v>13.3</v>
      </c>
      <c r="O75" s="19">
        <v>395</v>
      </c>
      <c r="Q75" t="s">
        <v>874</v>
      </c>
    </row>
    <row r="76" spans="2:17" x14ac:dyDescent="0.2">
      <c r="B76" s="1" t="s">
        <v>180</v>
      </c>
      <c r="C76" t="s">
        <v>324</v>
      </c>
      <c r="D76" t="s">
        <v>326</v>
      </c>
      <c r="E76" s="1" t="s">
        <v>398</v>
      </c>
      <c r="H76" s="12" t="s">
        <v>217</v>
      </c>
      <c r="I76" s="11" t="s">
        <v>1661</v>
      </c>
      <c r="J76" s="12" t="s">
        <v>220</v>
      </c>
      <c r="K76" s="13">
        <v>16.3</v>
      </c>
      <c r="L76" s="12">
        <v>367</v>
      </c>
      <c r="M76" s="12">
        <v>600</v>
      </c>
      <c r="N76" s="12">
        <v>13.3</v>
      </c>
      <c r="O76" s="19">
        <v>432.12</v>
      </c>
      <c r="Q76" t="s">
        <v>875</v>
      </c>
    </row>
    <row r="77" spans="2:17" x14ac:dyDescent="0.2">
      <c r="B77" s="1" t="s">
        <v>181</v>
      </c>
      <c r="C77" t="s">
        <v>324</v>
      </c>
      <c r="D77" t="s">
        <v>326</v>
      </c>
      <c r="E77" s="1" t="s">
        <v>399</v>
      </c>
      <c r="H77" s="12" t="s">
        <v>650</v>
      </c>
      <c r="I77" s="11" t="s">
        <v>1662</v>
      </c>
      <c r="J77" s="12" t="s">
        <v>220</v>
      </c>
      <c r="K77" s="13">
        <v>19.7</v>
      </c>
      <c r="L77" s="12">
        <v>448</v>
      </c>
      <c r="M77" s="12">
        <v>690</v>
      </c>
      <c r="N77" s="12">
        <v>13.3</v>
      </c>
      <c r="O77" s="19">
        <f>O78/25*24</f>
        <v>512.93759999999997</v>
      </c>
      <c r="Q77" t="s">
        <v>876</v>
      </c>
    </row>
    <row r="78" spans="2:17" x14ac:dyDescent="0.2">
      <c r="B78" s="1" t="s">
        <v>182</v>
      </c>
      <c r="C78" t="s">
        <v>324</v>
      </c>
      <c r="D78" t="s">
        <v>326</v>
      </c>
      <c r="E78" s="1" t="s">
        <v>400</v>
      </c>
      <c r="H78" s="12" t="s">
        <v>265</v>
      </c>
      <c r="I78" s="11" t="s">
        <v>1663</v>
      </c>
      <c r="J78" s="12" t="s">
        <v>220</v>
      </c>
      <c r="K78" s="13">
        <v>20.3</v>
      </c>
      <c r="L78" s="12">
        <v>492</v>
      </c>
      <c r="M78" s="12">
        <v>705</v>
      </c>
      <c r="N78" s="12">
        <v>13.3</v>
      </c>
      <c r="O78" s="19">
        <v>534.30999999999995</v>
      </c>
      <c r="Q78" t="s">
        <v>877</v>
      </c>
    </row>
    <row r="79" spans="2:17" x14ac:dyDescent="0.2">
      <c r="B79" s="1" t="s">
        <v>183</v>
      </c>
      <c r="C79" t="s">
        <v>324</v>
      </c>
      <c r="D79" t="s">
        <v>326</v>
      </c>
      <c r="E79" s="1" t="s">
        <v>401</v>
      </c>
      <c r="H79" s="12" t="s">
        <v>266</v>
      </c>
      <c r="I79" s="11" t="s">
        <v>1664</v>
      </c>
      <c r="J79" s="12" t="s">
        <v>220</v>
      </c>
      <c r="K79" s="13">
        <v>20.8</v>
      </c>
      <c r="L79" s="12">
        <v>555</v>
      </c>
      <c r="M79" s="12">
        <v>830</v>
      </c>
      <c r="N79" s="12">
        <v>13.3</v>
      </c>
      <c r="O79" s="19">
        <v>641.16999999999996</v>
      </c>
      <c r="Q79" t="s">
        <v>878</v>
      </c>
    </row>
    <row r="80" spans="2:17" x14ac:dyDescent="0.2">
      <c r="B80" s="1" t="s">
        <v>184</v>
      </c>
      <c r="C80" t="s">
        <v>324</v>
      </c>
      <c r="D80" t="s">
        <v>326</v>
      </c>
      <c r="E80" s="1" t="s">
        <v>402</v>
      </c>
      <c r="H80" s="12" t="s">
        <v>269</v>
      </c>
      <c r="I80" s="11" t="s">
        <v>1665</v>
      </c>
      <c r="J80" s="12" t="s">
        <v>220</v>
      </c>
      <c r="K80" s="13">
        <v>25.8</v>
      </c>
      <c r="L80" s="12">
        <v>782</v>
      </c>
      <c r="M80" s="12">
        <v>1060</v>
      </c>
      <c r="N80" s="12">
        <v>13.3</v>
      </c>
      <c r="O80" s="19">
        <v>978.5</v>
      </c>
      <c r="Q80" t="s">
        <v>879</v>
      </c>
    </row>
    <row r="81" spans="2:17" ht="3.6" customHeight="1" x14ac:dyDescent="0.2">
      <c r="B81"/>
      <c r="C81" s="1"/>
      <c r="E81"/>
      <c r="F81"/>
      <c r="G81"/>
      <c r="H81" s="15"/>
      <c r="I81" s="16"/>
      <c r="J81" s="15"/>
      <c r="K81" s="17"/>
      <c r="L81" s="15"/>
      <c r="M81" s="15"/>
      <c r="N81" s="17"/>
      <c r="O81" s="20"/>
    </row>
    <row r="82" spans="2:17" x14ac:dyDescent="0.2">
      <c r="B82" s="1" t="s">
        <v>185</v>
      </c>
      <c r="C82" t="s">
        <v>324</v>
      </c>
      <c r="D82" t="s">
        <v>326</v>
      </c>
      <c r="E82" s="1" t="s">
        <v>403</v>
      </c>
      <c r="H82" s="12" t="s">
        <v>276</v>
      </c>
      <c r="I82" s="11" t="s">
        <v>1666</v>
      </c>
      <c r="J82" s="12" t="s">
        <v>316</v>
      </c>
      <c r="K82" s="13">
        <v>9</v>
      </c>
      <c r="L82" s="12">
        <v>98</v>
      </c>
      <c r="M82" s="12">
        <v>130</v>
      </c>
      <c r="N82" s="12">
        <v>7.98</v>
      </c>
      <c r="O82" s="19">
        <v>105.71</v>
      </c>
      <c r="Q82" t="s">
        <v>880</v>
      </c>
    </row>
    <row r="83" spans="2:17" x14ac:dyDescent="0.2">
      <c r="B83" s="1" t="s">
        <v>186</v>
      </c>
      <c r="C83" t="s">
        <v>324</v>
      </c>
      <c r="D83" t="s">
        <v>326</v>
      </c>
      <c r="E83" s="1" t="s">
        <v>404</v>
      </c>
      <c r="H83" s="12" t="s">
        <v>277</v>
      </c>
      <c r="I83" s="11" t="s">
        <v>1667</v>
      </c>
      <c r="J83" s="12" t="s">
        <v>316</v>
      </c>
      <c r="K83" s="13">
        <v>9.9</v>
      </c>
      <c r="L83" s="12">
        <v>148</v>
      </c>
      <c r="M83" s="12">
        <v>170</v>
      </c>
      <c r="N83" s="12">
        <v>7.98</v>
      </c>
      <c r="O83" s="19">
        <v>124.91</v>
      </c>
      <c r="Q83" t="s">
        <v>881</v>
      </c>
    </row>
    <row r="84" spans="2:17" x14ac:dyDescent="0.2">
      <c r="B84" s="1" t="s">
        <v>187</v>
      </c>
      <c r="C84" t="s">
        <v>324</v>
      </c>
      <c r="D84" t="s">
        <v>326</v>
      </c>
      <c r="E84" s="1" t="s">
        <v>405</v>
      </c>
      <c r="H84" s="12" t="s">
        <v>278</v>
      </c>
      <c r="I84" s="11" t="s">
        <v>1668</v>
      </c>
      <c r="J84" s="12" t="s">
        <v>316</v>
      </c>
      <c r="K84" s="13">
        <v>10.199999999999999</v>
      </c>
      <c r="L84" s="12">
        <v>174</v>
      </c>
      <c r="M84" s="12">
        <v>195</v>
      </c>
      <c r="N84" s="12">
        <v>7.98</v>
      </c>
      <c r="O84" s="19">
        <v>167.01</v>
      </c>
      <c r="Q84" t="s">
        <v>882</v>
      </c>
    </row>
    <row r="85" spans="2:17" x14ac:dyDescent="0.2">
      <c r="B85" s="1" t="s">
        <v>188</v>
      </c>
      <c r="C85" t="s">
        <v>324</v>
      </c>
      <c r="D85" t="s">
        <v>326</v>
      </c>
      <c r="E85" s="1" t="s">
        <v>406</v>
      </c>
      <c r="H85" s="12" t="s">
        <v>279</v>
      </c>
      <c r="I85" s="11" t="s">
        <v>1669</v>
      </c>
      <c r="J85" s="12" t="s">
        <v>316</v>
      </c>
      <c r="K85" s="13">
        <v>11.6</v>
      </c>
      <c r="L85" s="12">
        <v>200</v>
      </c>
      <c r="M85" s="12">
        <v>225</v>
      </c>
      <c r="N85" s="12">
        <v>7.98</v>
      </c>
      <c r="O85" s="19">
        <v>213.2</v>
      </c>
      <c r="Q85" t="s">
        <v>883</v>
      </c>
    </row>
    <row r="86" spans="2:17" x14ac:dyDescent="0.2">
      <c r="B86" s="1" t="s">
        <v>189</v>
      </c>
      <c r="C86" t="s">
        <v>324</v>
      </c>
      <c r="D86" t="s">
        <v>326</v>
      </c>
      <c r="E86" s="1" t="s">
        <v>407</v>
      </c>
      <c r="H86" s="12" t="s">
        <v>280</v>
      </c>
      <c r="I86" s="11" t="s">
        <v>1670</v>
      </c>
      <c r="J86" s="12" t="s">
        <v>316</v>
      </c>
      <c r="K86" s="13">
        <v>13.7</v>
      </c>
      <c r="L86" s="12">
        <v>235</v>
      </c>
      <c r="M86" s="12">
        <v>345</v>
      </c>
      <c r="N86" s="12">
        <v>7.98</v>
      </c>
      <c r="O86" s="19">
        <v>277.98</v>
      </c>
      <c r="Q86" t="s">
        <v>884</v>
      </c>
    </row>
    <row r="87" spans="2:17" x14ac:dyDescent="0.2">
      <c r="B87" s="1" t="s">
        <v>190</v>
      </c>
      <c r="C87" t="s">
        <v>324</v>
      </c>
      <c r="D87" t="s">
        <v>326</v>
      </c>
      <c r="E87" s="1" t="s">
        <v>408</v>
      </c>
      <c r="H87" s="12" t="s">
        <v>282</v>
      </c>
      <c r="I87" s="11" t="s">
        <v>1671</v>
      </c>
      <c r="J87" s="12" t="s">
        <v>316</v>
      </c>
      <c r="K87" s="13">
        <v>18.2</v>
      </c>
      <c r="L87" s="12">
        <v>355</v>
      </c>
      <c r="M87" s="12">
        <v>570</v>
      </c>
      <c r="N87" s="12">
        <v>7.98</v>
      </c>
      <c r="O87" s="19">
        <v>496.62</v>
      </c>
      <c r="Q87" t="s">
        <v>885</v>
      </c>
    </row>
    <row r="88" spans="2:17" x14ac:dyDescent="0.2">
      <c r="B88" s="1" t="s">
        <v>191</v>
      </c>
      <c r="C88" t="s">
        <v>324</v>
      </c>
      <c r="D88" t="s">
        <v>326</v>
      </c>
      <c r="E88" s="1" t="s">
        <v>409</v>
      </c>
      <c r="H88" s="12" t="s">
        <v>284</v>
      </c>
      <c r="I88" s="11" t="s">
        <v>1672</v>
      </c>
      <c r="J88" s="12" t="s">
        <v>316</v>
      </c>
      <c r="K88" s="13">
        <v>22.4</v>
      </c>
      <c r="L88" s="12">
        <v>569</v>
      </c>
      <c r="M88" s="12">
        <v>970</v>
      </c>
      <c r="N88" s="12">
        <v>7.98</v>
      </c>
      <c r="O88" s="19">
        <v>711.06</v>
      </c>
      <c r="Q88" t="s">
        <v>886</v>
      </c>
    </row>
    <row r="89" spans="2:17" x14ac:dyDescent="0.2">
      <c r="B89" s="1" t="s">
        <v>192</v>
      </c>
      <c r="C89" t="s">
        <v>324</v>
      </c>
      <c r="D89" t="s">
        <v>326</v>
      </c>
      <c r="E89" s="1" t="s">
        <v>410</v>
      </c>
      <c r="H89" s="12" t="s">
        <v>285</v>
      </c>
      <c r="I89" s="11" t="s">
        <v>1673</v>
      </c>
      <c r="J89" s="12" t="s">
        <v>316</v>
      </c>
      <c r="K89" s="13">
        <v>25.2</v>
      </c>
      <c r="L89" s="12">
        <v>827</v>
      </c>
      <c r="M89" s="12">
        <v>1350</v>
      </c>
      <c r="N89" s="12">
        <v>7.98</v>
      </c>
      <c r="O89" s="19">
        <v>901.89</v>
      </c>
      <c r="Q89" t="s">
        <v>887</v>
      </c>
    </row>
    <row r="90" spans="2:17" ht="3.6" customHeight="1" x14ac:dyDescent="0.2">
      <c r="B90"/>
      <c r="C90" s="1"/>
      <c r="E90"/>
      <c r="F90"/>
      <c r="G90"/>
      <c r="H90" s="15"/>
      <c r="I90" s="16"/>
      <c r="J90" s="15"/>
      <c r="K90" s="17"/>
      <c r="L90" s="15"/>
      <c r="M90" s="15"/>
      <c r="N90" s="17"/>
      <c r="O90" s="20"/>
    </row>
    <row r="91" spans="2:17" x14ac:dyDescent="0.2">
      <c r="B91" s="1" t="s">
        <v>193</v>
      </c>
      <c r="C91" t="s">
        <v>324</v>
      </c>
      <c r="D91" t="s">
        <v>326</v>
      </c>
      <c r="E91" s="1" t="s">
        <v>411</v>
      </c>
      <c r="H91" s="12" t="s">
        <v>293</v>
      </c>
      <c r="I91" s="11" t="s">
        <v>1674</v>
      </c>
      <c r="J91" s="12" t="s">
        <v>317</v>
      </c>
      <c r="K91" s="13">
        <v>11.7</v>
      </c>
      <c r="L91" s="12">
        <v>190</v>
      </c>
      <c r="M91" s="12">
        <v>235</v>
      </c>
      <c r="N91" s="12">
        <v>4.95</v>
      </c>
      <c r="O91" s="19">
        <v>205</v>
      </c>
      <c r="Q91" t="s">
        <v>888</v>
      </c>
    </row>
    <row r="92" spans="2:17" x14ac:dyDescent="0.2">
      <c r="B92" s="1" t="s">
        <v>194</v>
      </c>
      <c r="C92" t="s">
        <v>324</v>
      </c>
      <c r="D92" t="s">
        <v>326</v>
      </c>
      <c r="E92" s="1" t="s">
        <v>412</v>
      </c>
      <c r="H92" s="12" t="s">
        <v>294</v>
      </c>
      <c r="I92" s="11" t="s">
        <v>1675</v>
      </c>
      <c r="J92" s="12" t="s">
        <v>317</v>
      </c>
      <c r="K92" s="13">
        <v>12.9</v>
      </c>
      <c r="L92" s="12">
        <v>220</v>
      </c>
      <c r="M92" s="12">
        <v>310</v>
      </c>
      <c r="N92" s="12">
        <v>4.95</v>
      </c>
      <c r="O92" s="19">
        <v>264.13</v>
      </c>
      <c r="Q92" t="s">
        <v>889</v>
      </c>
    </row>
    <row r="93" spans="2:17" x14ac:dyDescent="0.2">
      <c r="B93" s="1" t="s">
        <v>195</v>
      </c>
      <c r="C93" t="s">
        <v>324</v>
      </c>
      <c r="D93" t="s">
        <v>326</v>
      </c>
      <c r="E93" s="1" t="s">
        <v>413</v>
      </c>
      <c r="H93" s="12" t="s">
        <v>295</v>
      </c>
      <c r="I93" s="11" t="s">
        <v>1676</v>
      </c>
      <c r="J93" s="12" t="s">
        <v>317</v>
      </c>
      <c r="K93" s="13">
        <v>14.3</v>
      </c>
      <c r="L93" s="12">
        <v>328</v>
      </c>
      <c r="M93" s="12">
        <v>385</v>
      </c>
      <c r="N93" s="12">
        <v>4.95</v>
      </c>
      <c r="O93" s="19">
        <v>347</v>
      </c>
      <c r="Q93" t="s">
        <v>890</v>
      </c>
    </row>
    <row r="94" spans="2:17" x14ac:dyDescent="0.2">
      <c r="B94" s="1" t="s">
        <v>196</v>
      </c>
      <c r="C94" t="s">
        <v>324</v>
      </c>
      <c r="D94" t="s">
        <v>326</v>
      </c>
      <c r="E94" s="1" t="s">
        <v>414</v>
      </c>
      <c r="H94" s="12" t="s">
        <v>296</v>
      </c>
      <c r="I94" s="11" t="s">
        <v>1677</v>
      </c>
      <c r="J94" s="12" t="s">
        <v>317</v>
      </c>
      <c r="K94" s="13">
        <v>15.4</v>
      </c>
      <c r="L94" s="12">
        <v>355</v>
      </c>
      <c r="M94" s="12">
        <v>500</v>
      </c>
      <c r="N94" s="12">
        <v>4.95</v>
      </c>
      <c r="O94" s="19">
        <v>455</v>
      </c>
      <c r="Q94" t="s">
        <v>891</v>
      </c>
    </row>
    <row r="95" spans="2:17" ht="3.6" customHeight="1" x14ac:dyDescent="0.2">
      <c r="B95"/>
      <c r="C95" s="1"/>
      <c r="E95"/>
      <c r="F95"/>
      <c r="G95"/>
      <c r="H95" s="15"/>
      <c r="I95" s="16"/>
      <c r="J95" s="15"/>
      <c r="K95" s="17"/>
      <c r="L95" s="15"/>
      <c r="M95" s="15"/>
      <c r="N95" s="17"/>
      <c r="O95" s="20"/>
    </row>
    <row r="96" spans="2:17" x14ac:dyDescent="0.2">
      <c r="B96" s="1" t="s">
        <v>197</v>
      </c>
      <c r="C96" t="s">
        <v>324</v>
      </c>
      <c r="D96" t="s">
        <v>326</v>
      </c>
      <c r="E96" s="1" t="s">
        <v>415</v>
      </c>
      <c r="H96" s="12" t="s">
        <v>298</v>
      </c>
      <c r="I96" s="11" t="s">
        <v>1678</v>
      </c>
      <c r="J96" s="12" t="s">
        <v>318</v>
      </c>
      <c r="K96" s="13">
        <v>13.2</v>
      </c>
      <c r="L96" s="12">
        <v>260</v>
      </c>
      <c r="M96" s="12">
        <v>320</v>
      </c>
      <c r="N96" s="19">
        <v>3.3</v>
      </c>
      <c r="O96" s="19">
        <v>292</v>
      </c>
      <c r="Q96" t="s">
        <v>892</v>
      </c>
    </row>
    <row r="97" spans="2:17" x14ac:dyDescent="0.2">
      <c r="B97" s="1" t="s">
        <v>198</v>
      </c>
      <c r="C97" t="s">
        <v>324</v>
      </c>
      <c r="D97" t="s">
        <v>326</v>
      </c>
      <c r="E97" s="1" t="s">
        <v>416</v>
      </c>
      <c r="H97" s="12" t="s">
        <v>299</v>
      </c>
      <c r="I97" s="11" t="s">
        <v>1679</v>
      </c>
      <c r="J97" s="12" t="s">
        <v>318</v>
      </c>
      <c r="K97" s="13">
        <v>14.7</v>
      </c>
      <c r="L97" s="12">
        <v>305</v>
      </c>
      <c r="M97" s="12">
        <v>415</v>
      </c>
      <c r="N97" s="19">
        <v>3.3</v>
      </c>
      <c r="O97" s="19">
        <v>395.58</v>
      </c>
      <c r="Q97" t="s">
        <v>893</v>
      </c>
    </row>
    <row r="98" spans="2:17" x14ac:dyDescent="0.2">
      <c r="B98" s="1" t="s">
        <v>114</v>
      </c>
      <c r="C98" t="s">
        <v>323</v>
      </c>
      <c r="D98" t="s">
        <v>325</v>
      </c>
      <c r="E98" s="1" t="s">
        <v>330</v>
      </c>
      <c r="H98" s="12" t="s">
        <v>300</v>
      </c>
      <c r="I98" s="11" t="s">
        <v>1680</v>
      </c>
      <c r="J98" s="12" t="s">
        <v>318</v>
      </c>
      <c r="K98" s="13">
        <v>16.399999999999999</v>
      </c>
      <c r="L98" s="12">
        <v>441</v>
      </c>
      <c r="M98" s="12">
        <v>510</v>
      </c>
      <c r="N98" s="19">
        <v>3.3</v>
      </c>
      <c r="O98" s="19">
        <v>495</v>
      </c>
      <c r="Q98" t="s">
        <v>894</v>
      </c>
    </row>
    <row r="99" spans="2:17" ht="3.6" customHeight="1" x14ac:dyDescent="0.2">
      <c r="B99"/>
      <c r="C99" s="1"/>
      <c r="E99"/>
      <c r="F99"/>
      <c r="G99"/>
      <c r="H99" s="15"/>
      <c r="I99" s="16"/>
      <c r="J99" s="15"/>
      <c r="K99" s="17"/>
      <c r="L99" s="15"/>
      <c r="M99" s="15"/>
      <c r="N99" s="17"/>
      <c r="O99" s="20"/>
    </row>
    <row r="100" spans="2:17" x14ac:dyDescent="0.2">
      <c r="B100" s="1" t="s">
        <v>115</v>
      </c>
      <c r="C100" t="s">
        <v>324</v>
      </c>
      <c r="D100" t="s">
        <v>326</v>
      </c>
      <c r="E100" s="1" t="s">
        <v>417</v>
      </c>
      <c r="H100" s="12" t="s">
        <v>302</v>
      </c>
      <c r="I100" s="11" t="s">
        <v>1681</v>
      </c>
      <c r="J100" s="12" t="s">
        <v>319</v>
      </c>
      <c r="K100" s="13">
        <v>15.5</v>
      </c>
      <c r="L100" s="12">
        <v>430</v>
      </c>
      <c r="M100" s="12">
        <v>470</v>
      </c>
      <c r="N100" s="12">
        <v>1.91</v>
      </c>
      <c r="O100" s="19">
        <v>652.34</v>
      </c>
      <c r="Q100" t="s">
        <v>895</v>
      </c>
    </row>
    <row r="101" spans="2:17" x14ac:dyDescent="0.2">
      <c r="B101" s="1" t="s">
        <v>116</v>
      </c>
      <c r="C101" t="s">
        <v>324</v>
      </c>
      <c r="D101" t="s">
        <v>326</v>
      </c>
      <c r="E101" s="1" t="s">
        <v>418</v>
      </c>
      <c r="H101" s="12" t="s">
        <v>303</v>
      </c>
      <c r="I101" s="11" t="s">
        <v>1682</v>
      </c>
      <c r="J101" s="12" t="s">
        <v>319</v>
      </c>
      <c r="K101" s="13">
        <v>17.5</v>
      </c>
      <c r="L101" s="12">
        <v>485</v>
      </c>
      <c r="M101" s="12">
        <v>700</v>
      </c>
      <c r="N101" s="12">
        <v>1.91</v>
      </c>
      <c r="O101" s="19">
        <v>858</v>
      </c>
      <c r="Q101" t="s">
        <v>896</v>
      </c>
    </row>
    <row r="102" spans="2:17" x14ac:dyDescent="0.2">
      <c r="B102" s="1" t="s">
        <v>117</v>
      </c>
      <c r="C102" t="s">
        <v>324</v>
      </c>
      <c r="D102" t="s">
        <v>326</v>
      </c>
      <c r="E102" s="1" t="s">
        <v>419</v>
      </c>
      <c r="H102" s="12" t="s">
        <v>304</v>
      </c>
      <c r="I102" s="11" t="s">
        <v>1683</v>
      </c>
      <c r="J102" s="12" t="s">
        <v>319</v>
      </c>
      <c r="K102" s="13">
        <v>19.899999999999999</v>
      </c>
      <c r="L102" s="12">
        <v>545</v>
      </c>
      <c r="M102" s="12">
        <v>930</v>
      </c>
      <c r="N102" s="12">
        <v>1.91</v>
      </c>
      <c r="O102" s="19" t="s">
        <v>904</v>
      </c>
      <c r="Q102" t="s">
        <v>897</v>
      </c>
    </row>
    <row r="103" spans="2:17" ht="3.6" customHeight="1" x14ac:dyDescent="0.2">
      <c r="B103"/>
      <c r="C103" s="1"/>
      <c r="E103"/>
      <c r="F103"/>
      <c r="G103"/>
      <c r="H103" s="15"/>
      <c r="I103" s="16"/>
      <c r="J103" s="15"/>
      <c r="K103" s="17"/>
      <c r="L103" s="15"/>
      <c r="M103" s="15"/>
      <c r="N103" s="17"/>
      <c r="O103" s="20"/>
    </row>
    <row r="104" spans="2:17" x14ac:dyDescent="0.2">
      <c r="B104" s="1" t="s">
        <v>118</v>
      </c>
      <c r="C104" t="s">
        <v>324</v>
      </c>
      <c r="D104" t="s">
        <v>326</v>
      </c>
      <c r="E104" s="1" t="s">
        <v>420</v>
      </c>
      <c r="H104" s="12" t="s">
        <v>307</v>
      </c>
      <c r="I104" s="11" t="s">
        <v>1684</v>
      </c>
      <c r="J104" s="12" t="s">
        <v>320</v>
      </c>
      <c r="K104" s="13">
        <v>20.2</v>
      </c>
      <c r="L104" s="12">
        <v>800</v>
      </c>
      <c r="M104" s="12">
        <v>1050</v>
      </c>
      <c r="N104" s="12">
        <v>1.21</v>
      </c>
      <c r="O104" s="19">
        <v>1239</v>
      </c>
      <c r="Q104" t="s">
        <v>898</v>
      </c>
    </row>
    <row r="105" spans="2:17" x14ac:dyDescent="0.2">
      <c r="B105" s="1" t="s">
        <v>119</v>
      </c>
      <c r="C105" t="s">
        <v>324</v>
      </c>
      <c r="D105" t="s">
        <v>326</v>
      </c>
      <c r="E105" s="1" t="s">
        <v>421</v>
      </c>
      <c r="H105" s="12" t="s">
        <v>308</v>
      </c>
      <c r="I105" s="11" t="s">
        <v>1685</v>
      </c>
      <c r="J105" s="12" t="s">
        <v>320</v>
      </c>
      <c r="K105" s="13">
        <v>22.6</v>
      </c>
      <c r="L105" s="12">
        <v>895</v>
      </c>
      <c r="M105" s="12">
        <v>1285</v>
      </c>
      <c r="N105" s="12">
        <v>1.21</v>
      </c>
      <c r="O105" s="19" t="s">
        <v>904</v>
      </c>
      <c r="Q105" t="s">
        <v>899</v>
      </c>
    </row>
    <row r="106" spans="2:17" ht="3.6" customHeight="1" x14ac:dyDescent="0.2">
      <c r="B106"/>
      <c r="C106" s="1"/>
      <c r="E106"/>
      <c r="F106"/>
      <c r="G106"/>
      <c r="H106" s="15"/>
      <c r="I106" s="16"/>
      <c r="J106" s="15"/>
      <c r="K106" s="17"/>
      <c r="L106" s="15"/>
      <c r="M106" s="15"/>
      <c r="N106" s="17"/>
      <c r="O106" s="20"/>
    </row>
    <row r="107" spans="2:17" x14ac:dyDescent="0.2">
      <c r="B107" s="1" t="s">
        <v>120</v>
      </c>
      <c r="C107" t="s">
        <v>324</v>
      </c>
      <c r="D107" t="s">
        <v>326</v>
      </c>
      <c r="E107" s="1" t="s">
        <v>422</v>
      </c>
      <c r="H107" s="12" t="s">
        <v>311</v>
      </c>
      <c r="I107" s="11" t="s">
        <v>1686</v>
      </c>
      <c r="J107" s="12" t="s">
        <v>321</v>
      </c>
      <c r="K107" s="13">
        <v>25.1</v>
      </c>
      <c r="L107" s="12">
        <v>1075</v>
      </c>
      <c r="M107" s="12">
        <v>1415</v>
      </c>
      <c r="N107" s="37">
        <v>0.78</v>
      </c>
      <c r="O107" s="19">
        <v>1941</v>
      </c>
      <c r="Q107" t="s">
        <v>900</v>
      </c>
    </row>
    <row r="108" spans="2:17" x14ac:dyDescent="0.2">
      <c r="B108" s="1" t="s">
        <v>121</v>
      </c>
      <c r="C108" t="s">
        <v>324</v>
      </c>
      <c r="D108" t="s">
        <v>326</v>
      </c>
      <c r="E108" s="1" t="s">
        <v>423</v>
      </c>
      <c r="H108" s="12" t="s">
        <v>312</v>
      </c>
      <c r="I108" s="11" t="s">
        <v>1687</v>
      </c>
      <c r="J108" s="12" t="s">
        <v>321</v>
      </c>
      <c r="K108" s="13">
        <v>28</v>
      </c>
      <c r="L108" s="12">
        <v>1400</v>
      </c>
      <c r="M108" s="12">
        <v>1980</v>
      </c>
      <c r="N108" s="37">
        <v>0.78</v>
      </c>
      <c r="O108" s="19" t="s">
        <v>904</v>
      </c>
      <c r="Q108" t="s">
        <v>901</v>
      </c>
    </row>
    <row r="109" spans="2:17" ht="3.6" customHeight="1" x14ac:dyDescent="0.2">
      <c r="B109"/>
      <c r="C109" s="1"/>
      <c r="E109"/>
      <c r="F109"/>
      <c r="G109"/>
      <c r="H109" s="15"/>
      <c r="I109" s="16"/>
      <c r="J109" s="15"/>
      <c r="K109" s="17"/>
      <c r="L109" s="15"/>
      <c r="M109" s="15"/>
      <c r="N109" s="17"/>
      <c r="O109" s="20"/>
      <c r="Q109" t="s">
        <v>902</v>
      </c>
    </row>
    <row r="110" spans="2:17" x14ac:dyDescent="0.2">
      <c r="B110" s="1" t="s">
        <v>122</v>
      </c>
      <c r="C110" t="s">
        <v>324</v>
      </c>
      <c r="D110" t="s">
        <v>326</v>
      </c>
      <c r="E110" s="1" t="s">
        <v>424</v>
      </c>
      <c r="H110" s="12" t="s">
        <v>314</v>
      </c>
      <c r="I110" s="11" t="s">
        <v>1688</v>
      </c>
      <c r="J110" s="12" t="s">
        <v>322</v>
      </c>
      <c r="K110" s="13">
        <v>28</v>
      </c>
      <c r="L110" s="12">
        <v>1576</v>
      </c>
      <c r="M110" s="12">
        <v>2075</v>
      </c>
      <c r="N110" s="12">
        <v>0.55400000000000005</v>
      </c>
      <c r="O110" s="19">
        <v>2548</v>
      </c>
      <c r="Q110" t="s">
        <v>903</v>
      </c>
    </row>
    <row r="111" spans="2:17" x14ac:dyDescent="0.2">
      <c r="B111" s="1" t="s">
        <v>123</v>
      </c>
      <c r="C111" t="s">
        <v>324</v>
      </c>
      <c r="D111" t="s">
        <v>326</v>
      </c>
      <c r="E111" s="1" t="s">
        <v>425</v>
      </c>
      <c r="K111" s="1"/>
    </row>
    <row r="112" spans="2:17" x14ac:dyDescent="0.2">
      <c r="B112" s="1" t="s">
        <v>199</v>
      </c>
      <c r="C112" t="s">
        <v>324</v>
      </c>
      <c r="D112" t="s">
        <v>326</v>
      </c>
      <c r="E112" s="1" t="s">
        <v>426</v>
      </c>
      <c r="K112" s="1"/>
    </row>
    <row r="113" spans="2:11" x14ac:dyDescent="0.2">
      <c r="B113" s="1" t="s">
        <v>200</v>
      </c>
      <c r="C113" t="s">
        <v>324</v>
      </c>
      <c r="D113" t="s">
        <v>326</v>
      </c>
      <c r="E113" s="1" t="s">
        <v>427</v>
      </c>
      <c r="K113" s="1"/>
    </row>
    <row r="114" spans="2:11" x14ac:dyDescent="0.2">
      <c r="K114" s="1"/>
    </row>
    <row r="115" spans="2:11" x14ac:dyDescent="0.2">
      <c r="K115" s="1"/>
    </row>
  </sheetData>
  <mergeCells count="1">
    <mergeCell ref="I4:I5"/>
  </mergeCells>
  <hyperlinks>
    <hyperlink ref="I2" r:id="rId1" xr:uid="{87D8E5CC-F21E-4FA0-B7F5-D69086D4F56B}"/>
  </hyperlinks>
  <pageMargins left="0.32" right="0.17" top="0.17" bottom="0.17" header="0.17" footer="0.3"/>
  <pageSetup scale="75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42EC0-8652-467B-A1EE-E5ACAE92F988}">
  <sheetPr>
    <tabColor rgb="FF00B050"/>
  </sheetPr>
  <dimension ref="A1:Q115"/>
  <sheetViews>
    <sheetView topLeftCell="G1" zoomScale="85" zoomScaleNormal="85" workbookViewId="0">
      <selection activeCell="H73" sqref="H73"/>
    </sheetView>
  </sheetViews>
  <sheetFormatPr defaultRowHeight="14.25" x14ac:dyDescent="0.2"/>
  <cols>
    <col min="1" max="1" width="1.875" hidden="1" customWidth="1"/>
    <col min="2" max="2" width="13.125" style="1" hidden="1" customWidth="1"/>
    <col min="3" max="3" width="20.375" hidden="1" customWidth="1"/>
    <col min="4" max="4" width="7" hidden="1" customWidth="1"/>
    <col min="5" max="6" width="14.375" style="1" hidden="1" customWidth="1"/>
    <col min="7" max="7" width="5.875" style="1" customWidth="1"/>
    <col min="8" max="8" width="14.375" style="1" customWidth="1"/>
    <col min="9" max="9" width="37.875" style="1" customWidth="1"/>
    <col min="10" max="10" width="19" style="1" customWidth="1"/>
    <col min="11" max="11" width="9.375" style="3" bestFit="1" customWidth="1"/>
    <col min="12" max="13" width="9.75" style="1" bestFit="1" customWidth="1"/>
    <col min="14" max="14" width="17.875" style="1" bestFit="1" customWidth="1"/>
    <col min="15" max="15" width="14.75" style="1" customWidth="1"/>
    <col min="16" max="16" width="11.625" style="1" customWidth="1"/>
    <col min="17" max="17" width="57" customWidth="1"/>
  </cols>
  <sheetData>
    <row r="1" spans="2:17" x14ac:dyDescent="0.2">
      <c r="K1" s="1"/>
    </row>
    <row r="2" spans="2:17" x14ac:dyDescent="0.2">
      <c r="I2" s="34" t="s">
        <v>652</v>
      </c>
      <c r="K2" s="1"/>
    </row>
    <row r="3" spans="2:17" x14ac:dyDescent="0.2">
      <c r="K3" s="1"/>
    </row>
    <row r="4" spans="2:17" s="5" customFormat="1" ht="20.45" customHeight="1" x14ac:dyDescent="0.2">
      <c r="B4" s="4" t="s">
        <v>131</v>
      </c>
      <c r="E4" s="4"/>
      <c r="F4" s="4"/>
      <c r="G4" s="4"/>
      <c r="H4" s="6" t="s">
        <v>164</v>
      </c>
      <c r="I4" s="38" t="s">
        <v>480</v>
      </c>
      <c r="J4" s="6" t="s">
        <v>486</v>
      </c>
      <c r="K4" s="7" t="s">
        <v>170</v>
      </c>
      <c r="L4" s="6" t="s">
        <v>481</v>
      </c>
      <c r="M4" s="6" t="s">
        <v>482</v>
      </c>
      <c r="N4" s="6" t="s">
        <v>172</v>
      </c>
      <c r="O4" s="6" t="s">
        <v>913</v>
      </c>
      <c r="P4" s="1"/>
    </row>
    <row r="5" spans="2:17" s="5" customFormat="1" ht="20.45" customHeight="1" x14ac:dyDescent="0.2">
      <c r="B5" s="4"/>
      <c r="E5" s="4"/>
      <c r="F5" s="4"/>
      <c r="G5" s="4"/>
      <c r="H5" s="8" t="s">
        <v>484</v>
      </c>
      <c r="I5" s="39"/>
      <c r="J5" s="8" t="s">
        <v>169</v>
      </c>
      <c r="K5" s="9" t="s">
        <v>483</v>
      </c>
      <c r="L5" s="8" t="s">
        <v>171</v>
      </c>
      <c r="M5" s="8" t="s">
        <v>171</v>
      </c>
      <c r="N5" s="10" t="s">
        <v>485</v>
      </c>
      <c r="O5" s="24" t="s">
        <v>914</v>
      </c>
      <c r="P5" s="1"/>
      <c r="Q5" s="18" t="s">
        <v>905</v>
      </c>
    </row>
    <row r="6" spans="2:17" x14ac:dyDescent="0.2">
      <c r="B6" s="1" t="s">
        <v>85</v>
      </c>
      <c r="C6" t="s">
        <v>323</v>
      </c>
      <c r="D6" t="s">
        <v>325</v>
      </c>
      <c r="E6" s="2" t="s">
        <v>327</v>
      </c>
      <c r="F6" s="2"/>
      <c r="G6" s="2"/>
      <c r="H6" s="12" t="s">
        <v>165</v>
      </c>
      <c r="I6" s="11" t="s">
        <v>1484</v>
      </c>
      <c r="J6" s="12" t="s">
        <v>24</v>
      </c>
      <c r="K6" s="13">
        <v>5.3</v>
      </c>
      <c r="L6" s="12">
        <v>32</v>
      </c>
      <c r="M6" s="12">
        <v>45</v>
      </c>
      <c r="N6" s="13">
        <v>39</v>
      </c>
      <c r="O6" s="19">
        <v>37.47</v>
      </c>
      <c r="Q6" t="s">
        <v>808</v>
      </c>
    </row>
    <row r="7" spans="2:17" x14ac:dyDescent="0.2">
      <c r="B7" s="1" t="s">
        <v>86</v>
      </c>
      <c r="C7" t="s">
        <v>324</v>
      </c>
      <c r="D7" t="s">
        <v>326</v>
      </c>
      <c r="E7" s="1" t="s">
        <v>333</v>
      </c>
      <c r="H7" s="12" t="s">
        <v>0</v>
      </c>
      <c r="I7" s="11" t="s">
        <v>1485</v>
      </c>
      <c r="J7" s="12" t="s">
        <v>24</v>
      </c>
      <c r="K7" s="13">
        <v>5.6</v>
      </c>
      <c r="L7" s="12">
        <v>39</v>
      </c>
      <c r="M7" s="12">
        <v>55</v>
      </c>
      <c r="N7" s="13">
        <v>39</v>
      </c>
      <c r="O7" s="19">
        <v>44.6</v>
      </c>
      <c r="Q7" t="s">
        <v>809</v>
      </c>
    </row>
    <row r="8" spans="2:17" x14ac:dyDescent="0.2">
      <c r="B8" s="1" t="s">
        <v>87</v>
      </c>
      <c r="C8" t="s">
        <v>324</v>
      </c>
      <c r="D8" t="s">
        <v>326</v>
      </c>
      <c r="E8" s="1" t="s">
        <v>334</v>
      </c>
      <c r="H8" s="12" t="s">
        <v>1</v>
      </c>
      <c r="I8" s="11" t="s">
        <v>1486</v>
      </c>
      <c r="J8" s="12" t="s">
        <v>24</v>
      </c>
      <c r="K8" s="13">
        <v>6.3</v>
      </c>
      <c r="L8" s="12">
        <v>46</v>
      </c>
      <c r="M8" s="12">
        <v>60</v>
      </c>
      <c r="N8" s="13">
        <v>39</v>
      </c>
      <c r="O8" s="19">
        <v>50.56</v>
      </c>
      <c r="Q8" t="s">
        <v>810</v>
      </c>
    </row>
    <row r="9" spans="2:17" x14ac:dyDescent="0.2">
      <c r="B9" s="1" t="s">
        <v>88</v>
      </c>
      <c r="C9" t="s">
        <v>324</v>
      </c>
      <c r="D9" t="s">
        <v>326</v>
      </c>
      <c r="E9" s="1" t="s">
        <v>335</v>
      </c>
      <c r="H9" s="12" t="s">
        <v>3</v>
      </c>
      <c r="I9" s="11" t="s">
        <v>1487</v>
      </c>
      <c r="J9" s="12" t="s">
        <v>24</v>
      </c>
      <c r="K9" s="13">
        <v>6.6</v>
      </c>
      <c r="L9" s="12">
        <v>52</v>
      </c>
      <c r="M9" s="12">
        <v>75</v>
      </c>
      <c r="N9" s="13">
        <v>39</v>
      </c>
      <c r="O9" s="19">
        <v>67.36</v>
      </c>
      <c r="Q9" t="s">
        <v>811</v>
      </c>
    </row>
    <row r="10" spans="2:17" x14ac:dyDescent="0.2">
      <c r="B10" s="1" t="s">
        <v>89</v>
      </c>
      <c r="C10" t="s">
        <v>324</v>
      </c>
      <c r="D10" t="s">
        <v>326</v>
      </c>
      <c r="E10" s="1" t="s">
        <v>336</v>
      </c>
      <c r="H10" s="12" t="s">
        <v>2</v>
      </c>
      <c r="I10" s="11" t="s">
        <v>1488</v>
      </c>
      <c r="J10" s="12" t="s">
        <v>24</v>
      </c>
      <c r="K10" s="13">
        <v>7.2</v>
      </c>
      <c r="L10" s="12">
        <v>66</v>
      </c>
      <c r="M10" s="12">
        <v>90</v>
      </c>
      <c r="N10" s="13">
        <v>39</v>
      </c>
      <c r="O10" s="19">
        <v>76.400000000000006</v>
      </c>
      <c r="Q10" t="s">
        <v>812</v>
      </c>
    </row>
    <row r="11" spans="2:17" x14ac:dyDescent="0.2">
      <c r="B11" s="1" t="s">
        <v>90</v>
      </c>
      <c r="C11" t="s">
        <v>324</v>
      </c>
      <c r="D11" t="s">
        <v>326</v>
      </c>
      <c r="E11" s="1" t="s">
        <v>337</v>
      </c>
      <c r="H11" s="12" t="s">
        <v>4</v>
      </c>
      <c r="I11" s="11" t="s">
        <v>1489</v>
      </c>
      <c r="J11" s="12" t="s">
        <v>24</v>
      </c>
      <c r="K11" s="13">
        <v>7.6</v>
      </c>
      <c r="L11" s="12">
        <v>68</v>
      </c>
      <c r="M11" s="12">
        <v>100</v>
      </c>
      <c r="N11" s="13">
        <v>39</v>
      </c>
      <c r="O11" s="19">
        <v>85.44</v>
      </c>
      <c r="Q11" t="s">
        <v>813</v>
      </c>
    </row>
    <row r="12" spans="2:17" x14ac:dyDescent="0.2">
      <c r="B12" s="1" t="s">
        <v>91</v>
      </c>
      <c r="C12" t="s">
        <v>324</v>
      </c>
      <c r="D12" t="s">
        <v>326</v>
      </c>
      <c r="E12" s="1" t="s">
        <v>338</v>
      </c>
      <c r="H12" s="12" t="s">
        <v>5</v>
      </c>
      <c r="I12" s="11" t="s">
        <v>1490</v>
      </c>
      <c r="J12" s="12" t="s">
        <v>24</v>
      </c>
      <c r="K12" s="13">
        <v>8.3000000000000007</v>
      </c>
      <c r="L12" s="12">
        <v>70</v>
      </c>
      <c r="M12" s="12">
        <v>120</v>
      </c>
      <c r="N12" s="13">
        <v>39</v>
      </c>
      <c r="O12" s="19">
        <v>98</v>
      </c>
      <c r="Q12" t="s">
        <v>814</v>
      </c>
    </row>
    <row r="13" spans="2:17" x14ac:dyDescent="0.2">
      <c r="B13" s="1" t="s">
        <v>92</v>
      </c>
      <c r="C13" t="s">
        <v>324</v>
      </c>
      <c r="D13" t="s">
        <v>326</v>
      </c>
      <c r="E13" s="1" t="s">
        <v>339</v>
      </c>
      <c r="H13" s="12" t="s">
        <v>6</v>
      </c>
      <c r="I13" s="11" t="s">
        <v>1491</v>
      </c>
      <c r="J13" s="12" t="s">
        <v>24</v>
      </c>
      <c r="K13" s="13">
        <v>9</v>
      </c>
      <c r="L13" s="12">
        <v>81</v>
      </c>
      <c r="M13" s="12">
        <v>135</v>
      </c>
      <c r="N13" s="13">
        <v>39</v>
      </c>
      <c r="O13" s="19">
        <v>102.44</v>
      </c>
      <c r="Q13" t="s">
        <v>815</v>
      </c>
    </row>
    <row r="14" spans="2:17" x14ac:dyDescent="0.2">
      <c r="B14" s="1" t="s">
        <v>93</v>
      </c>
      <c r="C14" t="s">
        <v>324</v>
      </c>
      <c r="D14" t="s">
        <v>326</v>
      </c>
      <c r="E14" s="1" t="s">
        <v>340</v>
      </c>
      <c r="H14" s="12" t="s">
        <v>7</v>
      </c>
      <c r="I14" s="11" t="s">
        <v>1492</v>
      </c>
      <c r="J14" s="12" t="s">
        <v>24</v>
      </c>
      <c r="K14" s="13">
        <v>9.5</v>
      </c>
      <c r="L14" s="12">
        <v>117</v>
      </c>
      <c r="M14" s="12">
        <v>155</v>
      </c>
      <c r="N14" s="13">
        <v>39</v>
      </c>
      <c r="O14" s="19">
        <v>130.76</v>
      </c>
      <c r="Q14" t="s">
        <v>816</v>
      </c>
    </row>
    <row r="15" spans="2:17" x14ac:dyDescent="0.2">
      <c r="B15" s="1" t="s">
        <v>132</v>
      </c>
      <c r="C15" t="s">
        <v>324</v>
      </c>
      <c r="D15" t="s">
        <v>326</v>
      </c>
      <c r="E15" s="1" t="s">
        <v>341</v>
      </c>
      <c r="H15" s="12" t="s">
        <v>8</v>
      </c>
      <c r="I15" s="11" t="s">
        <v>1493</v>
      </c>
      <c r="J15" s="12" t="s">
        <v>24</v>
      </c>
      <c r="K15" s="13">
        <v>10.4</v>
      </c>
      <c r="L15" s="12">
        <v>122</v>
      </c>
      <c r="M15" s="12">
        <v>190</v>
      </c>
      <c r="N15" s="13">
        <v>39</v>
      </c>
      <c r="O15" s="19">
        <v>151.80000000000001</v>
      </c>
      <c r="Q15" t="s">
        <v>817</v>
      </c>
    </row>
    <row r="16" spans="2:17" x14ac:dyDescent="0.2">
      <c r="B16" s="1" t="s">
        <v>133</v>
      </c>
      <c r="C16" t="s">
        <v>324</v>
      </c>
      <c r="D16" t="s">
        <v>326</v>
      </c>
      <c r="E16" s="1" t="s">
        <v>342</v>
      </c>
      <c r="H16" s="12" t="s">
        <v>9</v>
      </c>
      <c r="I16" s="11" t="s">
        <v>1494</v>
      </c>
      <c r="J16" s="12" t="s">
        <v>24</v>
      </c>
      <c r="K16" s="13">
        <v>11.2</v>
      </c>
      <c r="L16" s="12">
        <v>123</v>
      </c>
      <c r="M16" s="12">
        <v>210</v>
      </c>
      <c r="N16" s="13">
        <v>39</v>
      </c>
      <c r="O16" s="19">
        <v>164</v>
      </c>
      <c r="Q16" t="s">
        <v>818</v>
      </c>
    </row>
    <row r="17" spans="2:17" x14ac:dyDescent="0.2">
      <c r="B17" s="1" t="s">
        <v>134</v>
      </c>
      <c r="C17" t="s">
        <v>324</v>
      </c>
      <c r="D17" t="s">
        <v>326</v>
      </c>
      <c r="E17" s="1" t="s">
        <v>343</v>
      </c>
      <c r="H17" s="12" t="s">
        <v>10</v>
      </c>
      <c r="I17" s="11" t="s">
        <v>1495</v>
      </c>
      <c r="J17" s="12" t="s">
        <v>24</v>
      </c>
      <c r="K17" s="13">
        <v>11.5</v>
      </c>
      <c r="L17" s="12">
        <v>156</v>
      </c>
      <c r="M17" s="12">
        <v>220</v>
      </c>
      <c r="N17" s="13">
        <v>39</v>
      </c>
      <c r="O17" s="19">
        <v>184.51</v>
      </c>
      <c r="Q17" t="s">
        <v>819</v>
      </c>
    </row>
    <row r="18" spans="2:17" x14ac:dyDescent="0.2">
      <c r="B18" s="1" t="s">
        <v>135</v>
      </c>
      <c r="C18" t="s">
        <v>324</v>
      </c>
      <c r="D18" t="s">
        <v>326</v>
      </c>
      <c r="E18" s="1" t="s">
        <v>344</v>
      </c>
      <c r="H18" s="12" t="s">
        <v>11</v>
      </c>
      <c r="I18" s="11" t="s">
        <v>1496</v>
      </c>
      <c r="J18" s="12" t="s">
        <v>24</v>
      </c>
      <c r="K18" s="13">
        <v>11.8</v>
      </c>
      <c r="L18" s="12">
        <v>173</v>
      </c>
      <c r="M18" s="12">
        <v>240</v>
      </c>
      <c r="N18" s="13">
        <v>39</v>
      </c>
      <c r="O18" s="19">
        <v>195.36</v>
      </c>
      <c r="Q18" t="s">
        <v>820</v>
      </c>
    </row>
    <row r="19" spans="2:17" x14ac:dyDescent="0.2">
      <c r="B19" s="1" t="s">
        <v>136</v>
      </c>
      <c r="C19" t="s">
        <v>324</v>
      </c>
      <c r="D19" t="s">
        <v>326</v>
      </c>
      <c r="E19" s="1" t="s">
        <v>345</v>
      </c>
      <c r="H19" s="12" t="s">
        <v>12</v>
      </c>
      <c r="I19" s="11" t="s">
        <v>1497</v>
      </c>
      <c r="J19" s="12" t="s">
        <v>24</v>
      </c>
      <c r="K19" s="13">
        <v>12.3</v>
      </c>
      <c r="L19" s="12">
        <v>189</v>
      </c>
      <c r="M19" s="12">
        <v>250</v>
      </c>
      <c r="N19" s="13">
        <v>39</v>
      </c>
      <c r="O19" s="19">
        <v>205.13</v>
      </c>
      <c r="Q19" t="s">
        <v>821</v>
      </c>
    </row>
    <row r="20" spans="2:17" x14ac:dyDescent="0.2">
      <c r="B20" s="1" t="s">
        <v>137</v>
      </c>
      <c r="C20" t="s">
        <v>324</v>
      </c>
      <c r="D20" t="s">
        <v>326</v>
      </c>
      <c r="E20" s="1" t="s">
        <v>346</v>
      </c>
      <c r="H20" s="12" t="s">
        <v>647</v>
      </c>
      <c r="I20" s="11" t="s">
        <v>1498</v>
      </c>
      <c r="J20" s="12" t="s">
        <v>24</v>
      </c>
      <c r="K20" s="13">
        <v>13</v>
      </c>
      <c r="L20" s="12">
        <v>236</v>
      </c>
      <c r="M20" s="12">
        <v>300</v>
      </c>
      <c r="N20" s="13">
        <v>39</v>
      </c>
      <c r="O20" s="19">
        <f>O21/25*24</f>
        <v>242.304</v>
      </c>
      <c r="Q20" t="s">
        <v>822</v>
      </c>
    </row>
    <row r="21" spans="2:17" x14ac:dyDescent="0.2">
      <c r="B21" s="1" t="s">
        <v>138</v>
      </c>
      <c r="C21" t="s">
        <v>324</v>
      </c>
      <c r="D21" t="s">
        <v>326</v>
      </c>
      <c r="E21" s="1" t="s">
        <v>347</v>
      </c>
      <c r="H21" s="12" t="s">
        <v>13</v>
      </c>
      <c r="I21" s="11" t="s">
        <v>1499</v>
      </c>
      <c r="J21" s="12" t="s">
        <v>24</v>
      </c>
      <c r="K21" s="13">
        <v>13.6</v>
      </c>
      <c r="L21" s="12">
        <v>250</v>
      </c>
      <c r="M21" s="12">
        <v>315</v>
      </c>
      <c r="N21" s="13">
        <v>39</v>
      </c>
      <c r="O21" s="19">
        <v>252.4</v>
      </c>
      <c r="Q21" t="s">
        <v>823</v>
      </c>
    </row>
    <row r="22" spans="2:17" x14ac:dyDescent="0.2">
      <c r="B22" s="1" t="s">
        <v>139</v>
      </c>
      <c r="C22" t="s">
        <v>324</v>
      </c>
      <c r="D22" t="s">
        <v>326</v>
      </c>
      <c r="E22" s="1" t="s">
        <v>348</v>
      </c>
      <c r="H22" s="12" t="s">
        <v>14</v>
      </c>
      <c r="I22" s="11" t="s">
        <v>1500</v>
      </c>
      <c r="J22" s="12" t="s">
        <v>24</v>
      </c>
      <c r="K22" s="13">
        <v>14</v>
      </c>
      <c r="L22" s="12">
        <v>297</v>
      </c>
      <c r="M22" s="12">
        <v>360</v>
      </c>
      <c r="N22" s="13">
        <v>39</v>
      </c>
      <c r="O22" s="19">
        <v>303</v>
      </c>
      <c r="Q22" t="s">
        <v>824</v>
      </c>
    </row>
    <row r="23" spans="2:17" x14ac:dyDescent="0.2">
      <c r="B23" s="1" t="s">
        <v>140</v>
      </c>
      <c r="C23" t="s">
        <v>324</v>
      </c>
      <c r="D23" t="s">
        <v>326</v>
      </c>
      <c r="E23" s="1" t="s">
        <v>349</v>
      </c>
      <c r="H23" s="12" t="s">
        <v>166</v>
      </c>
      <c r="I23" s="11" t="s">
        <v>1501</v>
      </c>
      <c r="J23" s="12" t="s">
        <v>24</v>
      </c>
      <c r="K23" s="13">
        <v>15.2</v>
      </c>
      <c r="L23" s="12">
        <v>301</v>
      </c>
      <c r="M23" s="12">
        <v>425</v>
      </c>
      <c r="N23" s="13">
        <v>39</v>
      </c>
      <c r="O23" s="19">
        <v>339.15</v>
      </c>
      <c r="Q23" t="s">
        <v>825</v>
      </c>
    </row>
    <row r="24" spans="2:17" x14ac:dyDescent="0.2">
      <c r="B24" s="1" t="s">
        <v>141</v>
      </c>
      <c r="C24" t="s">
        <v>324</v>
      </c>
      <c r="D24" t="s">
        <v>326</v>
      </c>
      <c r="E24" s="1" t="s">
        <v>350</v>
      </c>
      <c r="H24" s="12" t="s">
        <v>648</v>
      </c>
      <c r="I24" s="11" t="s">
        <v>1502</v>
      </c>
      <c r="J24" s="12" t="s">
        <v>24</v>
      </c>
      <c r="K24" s="13">
        <v>15.7</v>
      </c>
      <c r="L24" s="12">
        <v>320</v>
      </c>
      <c r="M24" s="12">
        <v>445</v>
      </c>
      <c r="N24" s="13">
        <v>39</v>
      </c>
      <c r="O24" s="19">
        <v>400</v>
      </c>
      <c r="Q24" t="s">
        <v>826</v>
      </c>
    </row>
    <row r="25" spans="2:17" x14ac:dyDescent="0.2">
      <c r="B25" s="1" t="s">
        <v>142</v>
      </c>
      <c r="C25" t="s">
        <v>324</v>
      </c>
      <c r="D25" t="s">
        <v>326</v>
      </c>
      <c r="E25" s="1" t="s">
        <v>351</v>
      </c>
      <c r="H25" s="12" t="s">
        <v>16</v>
      </c>
      <c r="I25" s="11" t="s">
        <v>1503</v>
      </c>
      <c r="J25" s="12" t="s">
        <v>24</v>
      </c>
      <c r="K25" s="13">
        <v>16.5</v>
      </c>
      <c r="L25" s="12">
        <v>343</v>
      </c>
      <c r="M25" s="12">
        <v>475</v>
      </c>
      <c r="N25" s="13">
        <v>39</v>
      </c>
      <c r="O25" s="19">
        <v>459</v>
      </c>
      <c r="Q25" t="s">
        <v>827</v>
      </c>
    </row>
    <row r="26" spans="2:17" x14ac:dyDescent="0.2">
      <c r="B26" s="1" t="s">
        <v>143</v>
      </c>
      <c r="C26" t="s">
        <v>324</v>
      </c>
      <c r="D26" t="s">
        <v>326</v>
      </c>
      <c r="E26" s="1" t="s">
        <v>352</v>
      </c>
      <c r="H26" s="12" t="s">
        <v>18</v>
      </c>
      <c r="I26" s="11" t="s">
        <v>1504</v>
      </c>
      <c r="J26" s="12" t="s">
        <v>24</v>
      </c>
      <c r="K26" s="13">
        <v>18.399999999999999</v>
      </c>
      <c r="L26" s="12">
        <v>407</v>
      </c>
      <c r="M26" s="12">
        <v>575</v>
      </c>
      <c r="N26" s="13">
        <v>39</v>
      </c>
      <c r="O26" s="19">
        <v>540.5</v>
      </c>
      <c r="Q26" t="s">
        <v>828</v>
      </c>
    </row>
    <row r="27" spans="2:17" ht="3.6" customHeight="1" x14ac:dyDescent="0.2">
      <c r="B27"/>
      <c r="C27" s="1"/>
      <c r="E27"/>
      <c r="F27"/>
      <c r="G27"/>
      <c r="H27" s="15"/>
      <c r="I27" s="16"/>
      <c r="J27" s="15"/>
      <c r="K27" s="17"/>
      <c r="L27" s="15"/>
      <c r="M27" s="15"/>
      <c r="N27" s="17"/>
      <c r="O27" s="17"/>
    </row>
    <row r="28" spans="2:17" x14ac:dyDescent="0.2">
      <c r="B28" s="1" t="s">
        <v>145</v>
      </c>
      <c r="C28" t="s">
        <v>324</v>
      </c>
      <c r="D28" t="s">
        <v>326</v>
      </c>
      <c r="E28" s="1" t="s">
        <v>354</v>
      </c>
      <c r="H28" s="12" t="s">
        <v>25</v>
      </c>
      <c r="I28" s="11" t="s">
        <v>1505</v>
      </c>
      <c r="J28" s="12" t="s">
        <v>52</v>
      </c>
      <c r="K28" s="13">
        <v>6.2</v>
      </c>
      <c r="L28" s="12">
        <v>49</v>
      </c>
      <c r="M28" s="12">
        <v>65</v>
      </c>
      <c r="N28" s="13">
        <v>26</v>
      </c>
      <c r="O28" s="19">
        <v>52.58</v>
      </c>
      <c r="Q28" t="s">
        <v>829</v>
      </c>
    </row>
    <row r="29" spans="2:17" x14ac:dyDescent="0.2">
      <c r="B29" s="1" t="s">
        <v>146</v>
      </c>
      <c r="C29" t="s">
        <v>324</v>
      </c>
      <c r="D29" t="s">
        <v>326</v>
      </c>
      <c r="E29" s="1" t="s">
        <v>355</v>
      </c>
      <c r="H29" s="12" t="s">
        <v>26</v>
      </c>
      <c r="I29" s="11" t="s">
        <v>1506</v>
      </c>
      <c r="J29" s="12" t="s">
        <v>52</v>
      </c>
      <c r="K29" s="13">
        <v>6.7</v>
      </c>
      <c r="L29" s="12">
        <v>57</v>
      </c>
      <c r="M29" s="12">
        <v>80</v>
      </c>
      <c r="N29" s="13">
        <v>26</v>
      </c>
      <c r="O29" s="19">
        <v>64.599999999999994</v>
      </c>
      <c r="Q29" t="s">
        <v>830</v>
      </c>
    </row>
    <row r="30" spans="2:17" x14ac:dyDescent="0.2">
      <c r="B30" s="1" t="s">
        <v>147</v>
      </c>
      <c r="C30" t="s">
        <v>324</v>
      </c>
      <c r="D30" t="s">
        <v>326</v>
      </c>
      <c r="E30" s="1" t="s">
        <v>356</v>
      </c>
      <c r="H30" s="12" t="s">
        <v>27</v>
      </c>
      <c r="I30" s="11" t="s">
        <v>1507</v>
      </c>
      <c r="J30" s="12" t="s">
        <v>52</v>
      </c>
      <c r="K30" s="13">
        <v>7.4</v>
      </c>
      <c r="L30" s="12">
        <v>70</v>
      </c>
      <c r="M30" s="12">
        <v>95</v>
      </c>
      <c r="N30" s="13">
        <v>26</v>
      </c>
      <c r="O30" s="19">
        <v>85.53</v>
      </c>
      <c r="Q30" t="s">
        <v>831</v>
      </c>
    </row>
    <row r="31" spans="2:17" x14ac:dyDescent="0.2">
      <c r="B31" s="1" t="s">
        <v>148</v>
      </c>
      <c r="C31" t="s">
        <v>324</v>
      </c>
      <c r="D31" t="s">
        <v>326</v>
      </c>
      <c r="E31" s="1" t="s">
        <v>357</v>
      </c>
      <c r="H31" s="12" t="s">
        <v>28</v>
      </c>
      <c r="I31" s="11" t="s">
        <v>1508</v>
      </c>
      <c r="J31" s="12" t="s">
        <v>52</v>
      </c>
      <c r="K31" s="13">
        <v>8</v>
      </c>
      <c r="L31" s="12">
        <v>78</v>
      </c>
      <c r="M31" s="12">
        <v>115</v>
      </c>
      <c r="N31" s="13">
        <v>26</v>
      </c>
      <c r="O31" s="19">
        <v>99.9</v>
      </c>
      <c r="Q31" t="s">
        <v>832</v>
      </c>
    </row>
    <row r="32" spans="2:17" x14ac:dyDescent="0.2">
      <c r="B32" s="1" t="s">
        <v>94</v>
      </c>
      <c r="C32" t="s">
        <v>323</v>
      </c>
      <c r="D32" t="s">
        <v>325</v>
      </c>
      <c r="E32" s="1" t="s">
        <v>328</v>
      </c>
      <c r="H32" s="12" t="s">
        <v>29</v>
      </c>
      <c r="I32" s="11" t="s">
        <v>1509</v>
      </c>
      <c r="J32" s="12" t="s">
        <v>52</v>
      </c>
      <c r="K32" s="13">
        <v>8.6</v>
      </c>
      <c r="L32" s="12">
        <v>98</v>
      </c>
      <c r="M32" s="12">
        <v>130</v>
      </c>
      <c r="N32" s="13">
        <v>26</v>
      </c>
      <c r="O32" s="19">
        <v>109.24</v>
      </c>
      <c r="Q32" t="s">
        <v>833</v>
      </c>
    </row>
    <row r="33" spans="2:17" x14ac:dyDescent="0.2">
      <c r="B33" s="1" t="s">
        <v>95</v>
      </c>
      <c r="C33" t="s">
        <v>324</v>
      </c>
      <c r="D33" t="s">
        <v>326</v>
      </c>
      <c r="E33" s="1" t="s">
        <v>358</v>
      </c>
      <c r="H33" s="12" t="s">
        <v>30</v>
      </c>
      <c r="I33" s="11" t="s">
        <v>1510</v>
      </c>
      <c r="J33" s="12" t="s">
        <v>52</v>
      </c>
      <c r="K33" s="13">
        <v>9.1999999999999993</v>
      </c>
      <c r="L33" s="12">
        <v>106</v>
      </c>
      <c r="M33" s="12">
        <v>145</v>
      </c>
      <c r="N33" s="13">
        <v>26</v>
      </c>
      <c r="O33" s="19">
        <v>121</v>
      </c>
      <c r="Q33" t="s">
        <v>834</v>
      </c>
    </row>
    <row r="34" spans="2:17" x14ac:dyDescent="0.2">
      <c r="B34" s="1" t="s">
        <v>96</v>
      </c>
      <c r="C34" t="s">
        <v>324</v>
      </c>
      <c r="D34" t="s">
        <v>326</v>
      </c>
      <c r="E34" s="1" t="s">
        <v>359</v>
      </c>
      <c r="H34" s="12" t="s">
        <v>32</v>
      </c>
      <c r="I34" s="11" t="s">
        <v>1511</v>
      </c>
      <c r="J34" s="12" t="s">
        <v>52</v>
      </c>
      <c r="K34" s="13">
        <v>10.3</v>
      </c>
      <c r="L34" s="12">
        <v>140</v>
      </c>
      <c r="M34" s="12">
        <v>180</v>
      </c>
      <c r="N34" s="13">
        <v>26</v>
      </c>
      <c r="O34" s="19">
        <v>149.97999999999999</v>
      </c>
      <c r="Q34" t="s">
        <v>835</v>
      </c>
    </row>
    <row r="35" spans="2:17" x14ac:dyDescent="0.2">
      <c r="B35" s="1" t="s">
        <v>97</v>
      </c>
      <c r="C35" t="s">
        <v>324</v>
      </c>
      <c r="D35" t="s">
        <v>326</v>
      </c>
      <c r="E35" s="1" t="s">
        <v>360</v>
      </c>
      <c r="H35" s="12" t="s">
        <v>33</v>
      </c>
      <c r="I35" s="11" t="s">
        <v>1512</v>
      </c>
      <c r="J35" s="12" t="s">
        <v>52</v>
      </c>
      <c r="K35" s="13">
        <v>10.7</v>
      </c>
      <c r="L35" s="12">
        <v>151</v>
      </c>
      <c r="M35" s="12">
        <v>205</v>
      </c>
      <c r="N35" s="13">
        <v>26</v>
      </c>
      <c r="O35" s="19">
        <v>168.18</v>
      </c>
      <c r="Q35" t="s">
        <v>836</v>
      </c>
    </row>
    <row r="36" spans="2:17" x14ac:dyDescent="0.2">
      <c r="B36" s="1" t="s">
        <v>98</v>
      </c>
      <c r="C36" t="s">
        <v>324</v>
      </c>
      <c r="D36" t="s">
        <v>326</v>
      </c>
      <c r="E36" s="1" t="s">
        <v>361</v>
      </c>
      <c r="H36" s="12" t="s">
        <v>34</v>
      </c>
      <c r="I36" s="11" t="s">
        <v>1513</v>
      </c>
      <c r="J36" s="12" t="s">
        <v>52</v>
      </c>
      <c r="K36" s="13">
        <v>11.4</v>
      </c>
      <c r="L36" s="12">
        <v>162</v>
      </c>
      <c r="M36" s="12">
        <v>225</v>
      </c>
      <c r="N36" s="13">
        <v>26</v>
      </c>
      <c r="O36" s="19">
        <v>204.55</v>
      </c>
      <c r="Q36" t="s">
        <v>837</v>
      </c>
    </row>
    <row r="37" spans="2:17" x14ac:dyDescent="0.2">
      <c r="B37" s="1" t="s">
        <v>99</v>
      </c>
      <c r="C37" t="s">
        <v>324</v>
      </c>
      <c r="D37" t="s">
        <v>326</v>
      </c>
      <c r="E37" s="1" t="s">
        <v>362</v>
      </c>
      <c r="H37" s="12" t="s">
        <v>168</v>
      </c>
      <c r="I37" s="11" t="s">
        <v>1514</v>
      </c>
      <c r="J37" s="12" t="s">
        <v>52</v>
      </c>
      <c r="K37" s="13">
        <v>12</v>
      </c>
      <c r="L37" s="12">
        <v>172</v>
      </c>
      <c r="M37" s="12">
        <v>275</v>
      </c>
      <c r="N37" s="13">
        <v>26</v>
      </c>
      <c r="O37" s="19">
        <v>229</v>
      </c>
      <c r="Q37" t="s">
        <v>838</v>
      </c>
    </row>
    <row r="38" spans="2:17" x14ac:dyDescent="0.2">
      <c r="B38" s="1" t="s">
        <v>100</v>
      </c>
      <c r="C38" t="s">
        <v>324</v>
      </c>
      <c r="D38" t="s">
        <v>326</v>
      </c>
      <c r="E38" s="1" t="s">
        <v>363</v>
      </c>
      <c r="H38" s="12" t="s">
        <v>35</v>
      </c>
      <c r="I38" s="11" t="s">
        <v>1515</v>
      </c>
      <c r="J38" s="12" t="s">
        <v>52</v>
      </c>
      <c r="K38" s="13">
        <v>12.8</v>
      </c>
      <c r="L38" s="12">
        <v>207</v>
      </c>
      <c r="M38" s="12">
        <v>290</v>
      </c>
      <c r="N38" s="13">
        <v>26</v>
      </c>
      <c r="O38" s="19">
        <v>257.11</v>
      </c>
      <c r="Q38" t="s">
        <v>839</v>
      </c>
    </row>
    <row r="39" spans="2:17" x14ac:dyDescent="0.2">
      <c r="B39" s="1" t="s">
        <v>101</v>
      </c>
      <c r="C39" t="s">
        <v>324</v>
      </c>
      <c r="D39" t="s">
        <v>326</v>
      </c>
      <c r="E39" s="1" t="s">
        <v>364</v>
      </c>
      <c r="H39" s="12" t="s">
        <v>36</v>
      </c>
      <c r="I39" s="11" t="s">
        <v>1516</v>
      </c>
      <c r="J39" s="12" t="s">
        <v>52</v>
      </c>
      <c r="K39" s="13">
        <v>13.4</v>
      </c>
      <c r="L39" s="12">
        <v>220</v>
      </c>
      <c r="M39" s="12">
        <v>320</v>
      </c>
      <c r="N39" s="13">
        <v>26</v>
      </c>
      <c r="O39" s="19">
        <v>279.60000000000002</v>
      </c>
      <c r="Q39" t="s">
        <v>840</v>
      </c>
    </row>
    <row r="40" spans="2:17" x14ac:dyDescent="0.2">
      <c r="B40" s="1" t="s">
        <v>102</v>
      </c>
      <c r="C40" t="s">
        <v>324</v>
      </c>
      <c r="D40" t="s">
        <v>326</v>
      </c>
      <c r="E40" s="1" t="s">
        <v>365</v>
      </c>
      <c r="H40" s="12" t="s">
        <v>649</v>
      </c>
      <c r="I40" s="11" t="s">
        <v>1517</v>
      </c>
      <c r="J40" s="12" t="s">
        <v>52</v>
      </c>
      <c r="K40" s="13">
        <v>15.5</v>
      </c>
      <c r="L40" s="12">
        <v>250</v>
      </c>
      <c r="M40" s="12">
        <v>415</v>
      </c>
      <c r="N40" s="13">
        <v>26</v>
      </c>
      <c r="O40" s="19">
        <f>O41/25*24</f>
        <v>351.8784</v>
      </c>
      <c r="Q40" t="s">
        <v>841</v>
      </c>
    </row>
    <row r="41" spans="2:17" x14ac:dyDescent="0.2">
      <c r="B41" s="1" t="s">
        <v>103</v>
      </c>
      <c r="C41" t="s">
        <v>324</v>
      </c>
      <c r="D41" t="s">
        <v>326</v>
      </c>
      <c r="E41" s="1" t="s">
        <v>366</v>
      </c>
      <c r="H41" s="12" t="s">
        <v>38</v>
      </c>
      <c r="I41" s="11" t="s">
        <v>1518</v>
      </c>
      <c r="J41" s="12" t="s">
        <v>52</v>
      </c>
      <c r="K41" s="13">
        <v>15.6</v>
      </c>
      <c r="L41" s="12">
        <v>271</v>
      </c>
      <c r="M41" s="12">
        <v>435</v>
      </c>
      <c r="N41" s="13">
        <v>26</v>
      </c>
      <c r="O41" s="19">
        <v>366.54</v>
      </c>
      <c r="Q41" t="s">
        <v>842</v>
      </c>
    </row>
    <row r="42" spans="2:17" x14ac:dyDescent="0.2">
      <c r="B42" s="1" t="s">
        <v>149</v>
      </c>
      <c r="C42" t="s">
        <v>324</v>
      </c>
      <c r="D42" t="s">
        <v>326</v>
      </c>
      <c r="E42" s="1" t="s">
        <v>367</v>
      </c>
      <c r="H42" s="12" t="s">
        <v>39</v>
      </c>
      <c r="I42" s="11" t="s">
        <v>1519</v>
      </c>
      <c r="J42" s="12" t="s">
        <v>52</v>
      </c>
      <c r="K42" s="13">
        <v>16.100000000000001</v>
      </c>
      <c r="L42" s="12">
        <v>297</v>
      </c>
      <c r="M42" s="12">
        <v>450</v>
      </c>
      <c r="N42" s="13">
        <v>26</v>
      </c>
      <c r="O42" s="19">
        <v>439</v>
      </c>
      <c r="Q42" t="s">
        <v>843</v>
      </c>
    </row>
    <row r="43" spans="2:17" x14ac:dyDescent="0.2">
      <c r="B43" s="1" t="s">
        <v>150</v>
      </c>
      <c r="C43" t="s">
        <v>324</v>
      </c>
      <c r="D43" t="s">
        <v>326</v>
      </c>
      <c r="E43" s="1" t="s">
        <v>368</v>
      </c>
      <c r="H43" s="12" t="s">
        <v>41</v>
      </c>
      <c r="I43" s="11" t="s">
        <v>1520</v>
      </c>
      <c r="J43" s="12" t="s">
        <v>52</v>
      </c>
      <c r="K43" s="13">
        <v>16.600000000000001</v>
      </c>
      <c r="L43" s="12">
        <v>330</v>
      </c>
      <c r="M43" s="12">
        <v>485</v>
      </c>
      <c r="N43" s="13">
        <v>26</v>
      </c>
      <c r="O43" s="19">
        <v>491.93</v>
      </c>
      <c r="Q43" t="s">
        <v>844</v>
      </c>
    </row>
    <row r="44" spans="2:17" x14ac:dyDescent="0.2">
      <c r="B44" s="1" t="s">
        <v>151</v>
      </c>
      <c r="C44" t="s">
        <v>324</v>
      </c>
      <c r="D44" t="s">
        <v>326</v>
      </c>
      <c r="E44" s="1" t="s">
        <v>369</v>
      </c>
      <c r="H44" s="12" t="s">
        <v>42</v>
      </c>
      <c r="I44" s="11" t="s">
        <v>1521</v>
      </c>
      <c r="J44" s="12" t="s">
        <v>52</v>
      </c>
      <c r="K44" s="13">
        <v>17.2</v>
      </c>
      <c r="L44" s="12">
        <v>370</v>
      </c>
      <c r="M44" s="12">
        <v>535</v>
      </c>
      <c r="N44" s="13">
        <v>26</v>
      </c>
      <c r="O44" s="19">
        <v>498</v>
      </c>
      <c r="Q44" t="s">
        <v>845</v>
      </c>
    </row>
    <row r="45" spans="2:17" x14ac:dyDescent="0.2">
      <c r="B45" s="1" t="s">
        <v>152</v>
      </c>
      <c r="C45" t="s">
        <v>324</v>
      </c>
      <c r="D45" t="s">
        <v>326</v>
      </c>
      <c r="E45" s="1" t="s">
        <v>370</v>
      </c>
      <c r="H45" s="12" t="s">
        <v>46</v>
      </c>
      <c r="I45" s="11" t="s">
        <v>1522</v>
      </c>
      <c r="J45" s="12" t="s">
        <v>52</v>
      </c>
      <c r="K45" s="13">
        <v>18.8</v>
      </c>
      <c r="L45" s="12">
        <v>430</v>
      </c>
      <c r="M45" s="12">
        <v>610</v>
      </c>
      <c r="N45" s="13">
        <v>26</v>
      </c>
      <c r="O45" s="19">
        <f>O46/50*42</f>
        <v>575.4</v>
      </c>
      <c r="Q45" t="s">
        <v>846</v>
      </c>
    </row>
    <row r="46" spans="2:17" x14ac:dyDescent="0.2">
      <c r="B46" s="1" t="s">
        <v>153</v>
      </c>
      <c r="C46" t="s">
        <v>324</v>
      </c>
      <c r="D46" t="s">
        <v>326</v>
      </c>
      <c r="E46" s="1" t="s">
        <v>371</v>
      </c>
      <c r="H46" s="12" t="s">
        <v>47</v>
      </c>
      <c r="I46" s="11" t="s">
        <v>1523</v>
      </c>
      <c r="J46" s="12" t="s">
        <v>52</v>
      </c>
      <c r="K46" s="13">
        <v>20.8</v>
      </c>
      <c r="L46" s="12">
        <v>480</v>
      </c>
      <c r="M46" s="12">
        <v>775</v>
      </c>
      <c r="N46" s="13">
        <v>26</v>
      </c>
      <c r="O46" s="19">
        <v>685</v>
      </c>
      <c r="Q46" t="s">
        <v>847</v>
      </c>
    </row>
    <row r="47" spans="2:17" ht="3.6" customHeight="1" x14ac:dyDescent="0.2">
      <c r="B47"/>
      <c r="C47" s="1"/>
      <c r="E47"/>
      <c r="F47"/>
      <c r="G47"/>
      <c r="H47" s="15"/>
      <c r="I47" s="16"/>
      <c r="J47" s="15"/>
      <c r="K47" s="17"/>
      <c r="L47" s="15"/>
      <c r="M47" s="15"/>
      <c r="N47" s="17"/>
      <c r="O47" s="20"/>
    </row>
    <row r="48" spans="2:17" x14ac:dyDescent="0.2">
      <c r="B48" s="1" t="s">
        <v>154</v>
      </c>
      <c r="C48" t="s">
        <v>324</v>
      </c>
      <c r="D48" t="s">
        <v>326</v>
      </c>
      <c r="E48" s="1" t="s">
        <v>372</v>
      </c>
      <c r="H48" s="12" t="s">
        <v>204</v>
      </c>
      <c r="I48" s="11" t="s">
        <v>1524</v>
      </c>
      <c r="J48" s="12" t="s">
        <v>84</v>
      </c>
      <c r="K48" s="13">
        <v>6.7</v>
      </c>
      <c r="L48" s="12">
        <v>55</v>
      </c>
      <c r="M48" s="12">
        <v>65</v>
      </c>
      <c r="N48" s="13">
        <v>19.5</v>
      </c>
      <c r="O48" s="19">
        <v>52</v>
      </c>
      <c r="Q48" t="s">
        <v>848</v>
      </c>
    </row>
    <row r="49" spans="2:17" x14ac:dyDescent="0.2">
      <c r="B49" s="1" t="s">
        <v>155</v>
      </c>
      <c r="C49" t="s">
        <v>324</v>
      </c>
      <c r="D49" t="s">
        <v>326</v>
      </c>
      <c r="E49" s="1" t="s">
        <v>373</v>
      </c>
      <c r="H49" s="12" t="s">
        <v>53</v>
      </c>
      <c r="I49" s="11" t="s">
        <v>1525</v>
      </c>
      <c r="J49" s="12" t="s">
        <v>84</v>
      </c>
      <c r="K49" s="13">
        <v>7</v>
      </c>
      <c r="L49" s="12">
        <v>70</v>
      </c>
      <c r="M49" s="12">
        <v>80</v>
      </c>
      <c r="N49" s="13">
        <v>19.5</v>
      </c>
      <c r="O49" s="19">
        <v>63.53</v>
      </c>
      <c r="Q49" t="s">
        <v>849</v>
      </c>
    </row>
    <row r="50" spans="2:17" x14ac:dyDescent="0.2">
      <c r="B50" s="1" t="s">
        <v>156</v>
      </c>
      <c r="C50" t="s">
        <v>324</v>
      </c>
      <c r="D50" t="s">
        <v>326</v>
      </c>
      <c r="E50" s="1" t="s">
        <v>374</v>
      </c>
      <c r="H50" s="12" t="s">
        <v>54</v>
      </c>
      <c r="I50" s="11" t="s">
        <v>1526</v>
      </c>
      <c r="J50" s="12" t="s">
        <v>84</v>
      </c>
      <c r="K50" s="13">
        <v>7.1</v>
      </c>
      <c r="L50" s="12">
        <v>80</v>
      </c>
      <c r="M50" s="12">
        <v>100</v>
      </c>
      <c r="N50" s="13">
        <v>19.5</v>
      </c>
      <c r="O50" s="19">
        <v>76.84</v>
      </c>
      <c r="Q50" t="s">
        <v>850</v>
      </c>
    </row>
    <row r="51" spans="2:17" x14ac:dyDescent="0.2">
      <c r="B51" s="1" t="s">
        <v>157</v>
      </c>
      <c r="C51" t="s">
        <v>324</v>
      </c>
      <c r="D51" t="s">
        <v>326</v>
      </c>
      <c r="E51" s="1" t="s">
        <v>375</v>
      </c>
      <c r="H51" s="12" t="s">
        <v>55</v>
      </c>
      <c r="I51" s="11" t="s">
        <v>1527</v>
      </c>
      <c r="J51" s="12" t="s">
        <v>84</v>
      </c>
      <c r="K51" s="13">
        <v>8.5</v>
      </c>
      <c r="L51" s="12">
        <v>95</v>
      </c>
      <c r="M51" s="12">
        <v>130</v>
      </c>
      <c r="N51" s="13">
        <v>19.5</v>
      </c>
      <c r="O51" s="19">
        <v>101.2</v>
      </c>
      <c r="Q51" t="s">
        <v>851</v>
      </c>
    </row>
    <row r="52" spans="2:17" x14ac:dyDescent="0.2">
      <c r="B52" s="1" t="s">
        <v>158</v>
      </c>
      <c r="C52" t="s">
        <v>324</v>
      </c>
      <c r="D52" t="s">
        <v>326</v>
      </c>
      <c r="E52" s="1" t="s">
        <v>376</v>
      </c>
      <c r="H52" s="12" t="s">
        <v>56</v>
      </c>
      <c r="I52" s="11" t="s">
        <v>1528</v>
      </c>
      <c r="J52" s="12" t="s">
        <v>84</v>
      </c>
      <c r="K52" s="13">
        <v>9.1</v>
      </c>
      <c r="L52" s="12">
        <v>105</v>
      </c>
      <c r="M52" s="12">
        <v>145</v>
      </c>
      <c r="N52" s="13">
        <v>19.5</v>
      </c>
      <c r="O52" s="19">
        <v>116</v>
      </c>
      <c r="Q52" t="s">
        <v>852</v>
      </c>
    </row>
    <row r="53" spans="2:17" x14ac:dyDescent="0.2">
      <c r="B53" s="1" t="s">
        <v>159</v>
      </c>
      <c r="C53" t="s">
        <v>324</v>
      </c>
      <c r="D53" t="s">
        <v>326</v>
      </c>
      <c r="E53" s="1" t="s">
        <v>377</v>
      </c>
      <c r="H53" s="12" t="s">
        <v>57</v>
      </c>
      <c r="I53" s="11" t="s">
        <v>1529</v>
      </c>
      <c r="J53" s="12" t="s">
        <v>84</v>
      </c>
      <c r="K53" s="13">
        <v>9.6999999999999993</v>
      </c>
      <c r="L53" s="12">
        <v>120</v>
      </c>
      <c r="M53" s="12">
        <v>160</v>
      </c>
      <c r="N53" s="13">
        <v>19.5</v>
      </c>
      <c r="O53" s="19">
        <v>129.18</v>
      </c>
      <c r="Q53" t="s">
        <v>853</v>
      </c>
    </row>
    <row r="54" spans="2:17" x14ac:dyDescent="0.2">
      <c r="B54" s="1" t="s">
        <v>160</v>
      </c>
      <c r="C54" t="s">
        <v>324</v>
      </c>
      <c r="D54" t="s">
        <v>326</v>
      </c>
      <c r="E54" s="1" t="s">
        <v>378</v>
      </c>
      <c r="H54" s="12" t="s">
        <v>58</v>
      </c>
      <c r="I54" s="11" t="s">
        <v>1530</v>
      </c>
      <c r="J54" s="12" t="s">
        <v>84</v>
      </c>
      <c r="K54" s="13">
        <v>11</v>
      </c>
      <c r="L54" s="12">
        <v>130</v>
      </c>
      <c r="M54" s="12">
        <v>200</v>
      </c>
      <c r="N54" s="13">
        <v>19.5</v>
      </c>
      <c r="O54" s="19">
        <v>168</v>
      </c>
      <c r="Q54" t="s">
        <v>854</v>
      </c>
    </row>
    <row r="55" spans="2:17" x14ac:dyDescent="0.2">
      <c r="B55" s="1" t="s">
        <v>161</v>
      </c>
      <c r="C55" t="s">
        <v>324</v>
      </c>
      <c r="D55" t="s">
        <v>326</v>
      </c>
      <c r="E55" s="1" t="s">
        <v>379</v>
      </c>
      <c r="H55" s="12" t="s">
        <v>60</v>
      </c>
      <c r="I55" s="11" t="s">
        <v>1531</v>
      </c>
      <c r="J55" s="12" t="s">
        <v>84</v>
      </c>
      <c r="K55" s="13">
        <v>12</v>
      </c>
      <c r="L55" s="12">
        <v>138</v>
      </c>
      <c r="M55" s="12">
        <v>230</v>
      </c>
      <c r="N55" s="13">
        <v>19.5</v>
      </c>
      <c r="O55" s="19">
        <v>183.11</v>
      </c>
      <c r="Q55" t="s">
        <v>855</v>
      </c>
    </row>
    <row r="56" spans="2:17" x14ac:dyDescent="0.2">
      <c r="B56" s="1" t="s">
        <v>162</v>
      </c>
      <c r="C56" t="s">
        <v>324</v>
      </c>
      <c r="D56" t="s">
        <v>326</v>
      </c>
      <c r="E56" s="1" t="s">
        <v>380</v>
      </c>
      <c r="H56" s="12" t="s">
        <v>61</v>
      </c>
      <c r="I56" s="11" t="s">
        <v>1532</v>
      </c>
      <c r="J56" s="12" t="s">
        <v>84</v>
      </c>
      <c r="K56" s="13">
        <v>12.4</v>
      </c>
      <c r="L56" s="12">
        <v>186</v>
      </c>
      <c r="M56" s="12">
        <v>260</v>
      </c>
      <c r="N56" s="13">
        <v>19.5</v>
      </c>
      <c r="O56" s="19">
        <v>282.52999999999997</v>
      </c>
      <c r="Q56" t="s">
        <v>856</v>
      </c>
    </row>
    <row r="57" spans="2:17" x14ac:dyDescent="0.2">
      <c r="B57" s="1" t="s">
        <v>163</v>
      </c>
      <c r="C57" t="s">
        <v>324</v>
      </c>
      <c r="D57" t="s">
        <v>326</v>
      </c>
      <c r="E57" s="1" t="s">
        <v>381</v>
      </c>
      <c r="H57" s="12" t="s">
        <v>62</v>
      </c>
      <c r="I57" s="11" t="s">
        <v>1533</v>
      </c>
      <c r="J57" s="12" t="s">
        <v>84</v>
      </c>
      <c r="K57" s="13">
        <v>13</v>
      </c>
      <c r="L57" s="12">
        <v>198</v>
      </c>
      <c r="M57" s="12">
        <v>300</v>
      </c>
      <c r="N57" s="13">
        <v>19.5</v>
      </c>
      <c r="O57" s="19">
        <v>233</v>
      </c>
      <c r="Q57" t="s">
        <v>857</v>
      </c>
    </row>
    <row r="58" spans="2:17" x14ac:dyDescent="0.2">
      <c r="B58" s="1" t="s">
        <v>173</v>
      </c>
      <c r="C58" t="s">
        <v>324</v>
      </c>
      <c r="D58" t="s">
        <v>326</v>
      </c>
      <c r="E58" s="1" t="s">
        <v>382</v>
      </c>
      <c r="H58" s="12" t="s">
        <v>63</v>
      </c>
      <c r="I58" s="11" t="s">
        <v>1534</v>
      </c>
      <c r="J58" s="12" t="s">
        <v>84</v>
      </c>
      <c r="K58" s="13">
        <v>13.9</v>
      </c>
      <c r="L58" s="12">
        <v>203</v>
      </c>
      <c r="M58" s="12">
        <v>345</v>
      </c>
      <c r="N58" s="13">
        <v>19.5</v>
      </c>
      <c r="O58" s="19">
        <v>282</v>
      </c>
      <c r="Q58" t="s">
        <v>858</v>
      </c>
    </row>
    <row r="59" spans="2:17" x14ac:dyDescent="0.2">
      <c r="B59" s="1" t="s">
        <v>174</v>
      </c>
      <c r="C59" t="s">
        <v>324</v>
      </c>
      <c r="D59" t="s">
        <v>326</v>
      </c>
      <c r="E59" s="1" t="s">
        <v>383</v>
      </c>
      <c r="H59" s="12" t="s">
        <v>64</v>
      </c>
      <c r="I59" s="11" t="s">
        <v>1535</v>
      </c>
      <c r="J59" s="12" t="s">
        <v>84</v>
      </c>
      <c r="K59" s="13">
        <v>14.5</v>
      </c>
      <c r="L59" s="12">
        <v>245</v>
      </c>
      <c r="M59" s="12">
        <v>380</v>
      </c>
      <c r="N59" s="13">
        <v>19.5</v>
      </c>
      <c r="O59" s="19">
        <v>308.52999999999997</v>
      </c>
      <c r="Q59" t="s">
        <v>859</v>
      </c>
    </row>
    <row r="60" spans="2:17" x14ac:dyDescent="0.2">
      <c r="B60" s="1" t="s">
        <v>175</v>
      </c>
      <c r="C60" t="s">
        <v>324</v>
      </c>
      <c r="D60" t="s">
        <v>326</v>
      </c>
      <c r="E60" s="1" t="s">
        <v>384</v>
      </c>
      <c r="H60" s="12" t="s">
        <v>66</v>
      </c>
      <c r="I60" s="11" t="s">
        <v>1536</v>
      </c>
      <c r="J60" s="12" t="s">
        <v>84</v>
      </c>
      <c r="K60" s="13">
        <v>15.8</v>
      </c>
      <c r="L60" s="12">
        <v>286</v>
      </c>
      <c r="M60" s="12">
        <v>440</v>
      </c>
      <c r="N60" s="13">
        <v>19.5</v>
      </c>
      <c r="O60" s="19">
        <v>338.1</v>
      </c>
      <c r="Q60" t="s">
        <v>860</v>
      </c>
    </row>
    <row r="61" spans="2:17" x14ac:dyDescent="0.2">
      <c r="B61" s="1" t="s">
        <v>176</v>
      </c>
      <c r="C61" t="s">
        <v>324</v>
      </c>
      <c r="D61" t="s">
        <v>326</v>
      </c>
      <c r="E61" s="1" t="s">
        <v>385</v>
      </c>
      <c r="H61" s="12" t="s">
        <v>68</v>
      </c>
      <c r="I61" s="11" t="s">
        <v>1537</v>
      </c>
      <c r="J61" s="12" t="s">
        <v>84</v>
      </c>
      <c r="K61" s="13">
        <v>16.2</v>
      </c>
      <c r="L61" s="12">
        <v>345</v>
      </c>
      <c r="M61" s="12">
        <v>495</v>
      </c>
      <c r="N61" s="13">
        <v>19.5</v>
      </c>
      <c r="O61" s="19">
        <v>388</v>
      </c>
      <c r="Q61" t="s">
        <v>861</v>
      </c>
    </row>
    <row r="62" spans="2:17" x14ac:dyDescent="0.2">
      <c r="B62" s="1" t="s">
        <v>104</v>
      </c>
      <c r="C62" t="s">
        <v>323</v>
      </c>
      <c r="D62" t="s">
        <v>325</v>
      </c>
      <c r="E62" s="1" t="s">
        <v>329</v>
      </c>
      <c r="H62" s="12" t="s">
        <v>69</v>
      </c>
      <c r="I62" s="11" t="s">
        <v>1538</v>
      </c>
      <c r="J62" s="12" t="s">
        <v>84</v>
      </c>
      <c r="K62" s="13">
        <v>18</v>
      </c>
      <c r="L62" s="12">
        <v>360</v>
      </c>
      <c r="M62" s="12">
        <v>535</v>
      </c>
      <c r="N62" s="12">
        <v>19.5</v>
      </c>
      <c r="O62" s="19">
        <v>400.18</v>
      </c>
      <c r="Q62" t="s">
        <v>862</v>
      </c>
    </row>
    <row r="63" spans="2:17" x14ac:dyDescent="0.2">
      <c r="B63" s="1" t="s">
        <v>105</v>
      </c>
      <c r="C63" t="s">
        <v>324</v>
      </c>
      <c r="D63" t="s">
        <v>326</v>
      </c>
      <c r="E63" s="1" t="s">
        <v>386</v>
      </c>
      <c r="H63" s="12" t="s">
        <v>72</v>
      </c>
      <c r="I63" s="11" t="s">
        <v>1539</v>
      </c>
      <c r="J63" s="12" t="s">
        <v>84</v>
      </c>
      <c r="K63" s="13">
        <v>20.6</v>
      </c>
      <c r="L63" s="12">
        <v>440</v>
      </c>
      <c r="M63" s="12">
        <v>740</v>
      </c>
      <c r="N63" s="12">
        <v>19.5</v>
      </c>
      <c r="O63" s="19">
        <v>544.24</v>
      </c>
      <c r="Q63" t="s">
        <v>863</v>
      </c>
    </row>
    <row r="64" spans="2:17" x14ac:dyDescent="0.2">
      <c r="B64" s="1" t="s">
        <v>106</v>
      </c>
      <c r="C64" t="s">
        <v>324</v>
      </c>
      <c r="D64" t="s">
        <v>326</v>
      </c>
      <c r="E64" s="1" t="s">
        <v>387</v>
      </c>
      <c r="H64" s="12" t="s">
        <v>78</v>
      </c>
      <c r="I64" s="11" t="s">
        <v>1540</v>
      </c>
      <c r="J64" s="12" t="s">
        <v>84</v>
      </c>
      <c r="K64" s="13">
        <v>24.2</v>
      </c>
      <c r="L64" s="12">
        <v>626</v>
      </c>
      <c r="M64" s="12">
        <v>1025</v>
      </c>
      <c r="N64" s="12">
        <v>19.5</v>
      </c>
      <c r="O64" s="19">
        <v>923</v>
      </c>
      <c r="Q64" t="s">
        <v>864</v>
      </c>
    </row>
    <row r="65" spans="2:17" ht="3.6" customHeight="1" x14ac:dyDescent="0.2">
      <c r="B65"/>
      <c r="C65" s="1"/>
      <c r="E65"/>
      <c r="F65"/>
      <c r="G65"/>
      <c r="H65" s="15"/>
      <c r="I65" s="16"/>
      <c r="J65" s="15"/>
      <c r="K65" s="17"/>
      <c r="L65" s="15"/>
      <c r="M65" s="15"/>
      <c r="N65" s="17"/>
      <c r="O65" s="20"/>
    </row>
    <row r="66" spans="2:17" x14ac:dyDescent="0.2">
      <c r="B66" s="1" t="s">
        <v>107</v>
      </c>
      <c r="C66" t="s">
        <v>324</v>
      </c>
      <c r="D66" t="s">
        <v>326</v>
      </c>
      <c r="E66" s="1" t="s">
        <v>388</v>
      </c>
      <c r="H66" s="12" t="s">
        <v>205</v>
      </c>
      <c r="I66" s="11" t="s">
        <v>1541</v>
      </c>
      <c r="J66" s="12" t="s">
        <v>220</v>
      </c>
      <c r="K66" s="13">
        <v>7.3</v>
      </c>
      <c r="L66" s="12">
        <v>65</v>
      </c>
      <c r="M66" s="12">
        <v>90</v>
      </c>
      <c r="N66" s="12">
        <v>13.3</v>
      </c>
      <c r="O66" s="19">
        <v>67.33</v>
      </c>
      <c r="Q66" t="s">
        <v>865</v>
      </c>
    </row>
    <row r="67" spans="2:17" x14ac:dyDescent="0.2">
      <c r="B67" s="1" t="s">
        <v>108</v>
      </c>
      <c r="C67" t="s">
        <v>324</v>
      </c>
      <c r="D67" t="s">
        <v>326</v>
      </c>
      <c r="E67" s="1" t="s">
        <v>389</v>
      </c>
      <c r="H67" s="12" t="s">
        <v>206</v>
      </c>
      <c r="I67" s="11" t="s">
        <v>1542</v>
      </c>
      <c r="J67" s="12" t="s">
        <v>220</v>
      </c>
      <c r="K67" s="13">
        <v>7.7</v>
      </c>
      <c r="L67" s="12">
        <v>90</v>
      </c>
      <c r="M67" s="12">
        <v>100</v>
      </c>
      <c r="N67" s="12">
        <v>13.3</v>
      </c>
      <c r="O67" s="19">
        <v>83.44</v>
      </c>
      <c r="Q67" t="s">
        <v>866</v>
      </c>
    </row>
    <row r="68" spans="2:17" x14ac:dyDescent="0.2">
      <c r="B68" s="1" t="s">
        <v>109</v>
      </c>
      <c r="C68" t="s">
        <v>324</v>
      </c>
      <c r="D68" t="s">
        <v>326</v>
      </c>
      <c r="E68" s="1" t="s">
        <v>390</v>
      </c>
      <c r="H68" s="12" t="s">
        <v>207</v>
      </c>
      <c r="I68" s="11" t="s">
        <v>1543</v>
      </c>
      <c r="J68" s="12" t="s">
        <v>220</v>
      </c>
      <c r="K68" s="13">
        <v>8.3000000000000007</v>
      </c>
      <c r="L68" s="12">
        <v>110</v>
      </c>
      <c r="M68" s="12">
        <v>125</v>
      </c>
      <c r="N68" s="12">
        <v>13.3</v>
      </c>
      <c r="O68" s="19">
        <v>104.11</v>
      </c>
      <c r="Q68" t="s">
        <v>867</v>
      </c>
    </row>
    <row r="69" spans="2:17" x14ac:dyDescent="0.2">
      <c r="B69" s="1" t="s">
        <v>110</v>
      </c>
      <c r="C69" t="s">
        <v>324</v>
      </c>
      <c r="D69" t="s">
        <v>326</v>
      </c>
      <c r="E69" s="1" t="s">
        <v>391</v>
      </c>
      <c r="H69" s="12" t="s">
        <v>208</v>
      </c>
      <c r="I69" s="11" t="s">
        <v>1544</v>
      </c>
      <c r="J69" s="12" t="s">
        <v>220</v>
      </c>
      <c r="K69" s="13">
        <v>9.4</v>
      </c>
      <c r="L69" s="12">
        <v>125</v>
      </c>
      <c r="M69" s="12">
        <v>160</v>
      </c>
      <c r="N69" s="12">
        <v>13.3</v>
      </c>
      <c r="O69" s="19">
        <v>135.91</v>
      </c>
      <c r="Q69" t="s">
        <v>868</v>
      </c>
    </row>
    <row r="70" spans="2:17" x14ac:dyDescent="0.2">
      <c r="B70" s="1" t="s">
        <v>111</v>
      </c>
      <c r="C70" t="s">
        <v>324</v>
      </c>
      <c r="D70" t="s">
        <v>326</v>
      </c>
      <c r="E70" s="1" t="s">
        <v>392</v>
      </c>
      <c r="H70" s="12" t="s">
        <v>210</v>
      </c>
      <c r="I70" s="11" t="s">
        <v>1545</v>
      </c>
      <c r="J70" s="12" t="s">
        <v>220</v>
      </c>
      <c r="K70" s="13">
        <v>10.7</v>
      </c>
      <c r="L70" s="12">
        <v>159</v>
      </c>
      <c r="M70" s="12">
        <v>210</v>
      </c>
      <c r="N70" s="12">
        <v>13.3</v>
      </c>
      <c r="O70" s="19">
        <v>175.56</v>
      </c>
      <c r="Q70" t="s">
        <v>869</v>
      </c>
    </row>
    <row r="71" spans="2:17" x14ac:dyDescent="0.2">
      <c r="B71" s="1" t="s">
        <v>112</v>
      </c>
      <c r="C71" t="s">
        <v>324</v>
      </c>
      <c r="D71" t="s">
        <v>326</v>
      </c>
      <c r="E71" s="1" t="s">
        <v>393</v>
      </c>
      <c r="H71" s="12" t="s">
        <v>211</v>
      </c>
      <c r="I71" s="11" t="s">
        <v>1546</v>
      </c>
      <c r="J71" s="12" t="s">
        <v>220</v>
      </c>
      <c r="K71" s="13">
        <v>12</v>
      </c>
      <c r="L71" s="12">
        <v>172</v>
      </c>
      <c r="M71" s="12">
        <v>245</v>
      </c>
      <c r="N71" s="12">
        <v>13.3</v>
      </c>
      <c r="O71" s="19">
        <v>199</v>
      </c>
      <c r="Q71" t="s">
        <v>870</v>
      </c>
    </row>
    <row r="72" spans="2:17" x14ac:dyDescent="0.2">
      <c r="B72" s="1" t="s">
        <v>113</v>
      </c>
      <c r="C72" t="s">
        <v>324</v>
      </c>
      <c r="D72" t="s">
        <v>326</v>
      </c>
      <c r="E72" s="1" t="s">
        <v>394</v>
      </c>
      <c r="H72" s="12" t="s">
        <v>213</v>
      </c>
      <c r="I72" s="11" t="s">
        <v>1547</v>
      </c>
      <c r="J72" s="12" t="s">
        <v>220</v>
      </c>
      <c r="K72" s="13">
        <v>13.4</v>
      </c>
      <c r="L72" s="12">
        <v>193</v>
      </c>
      <c r="M72" s="12">
        <v>315</v>
      </c>
      <c r="N72" s="12">
        <v>13.3</v>
      </c>
      <c r="O72" s="19">
        <v>247.22</v>
      </c>
      <c r="Q72" t="s">
        <v>871</v>
      </c>
    </row>
    <row r="73" spans="2:17" x14ac:dyDescent="0.2">
      <c r="B73" s="1" t="s">
        <v>177</v>
      </c>
      <c r="C73" t="s">
        <v>324</v>
      </c>
      <c r="D73" t="s">
        <v>326</v>
      </c>
      <c r="E73" s="1" t="s">
        <v>395</v>
      </c>
      <c r="H73" s="12" t="s">
        <v>214</v>
      </c>
      <c r="I73" s="11" t="s">
        <v>1548</v>
      </c>
      <c r="J73" s="12" t="s">
        <v>220</v>
      </c>
      <c r="K73" s="13">
        <v>13.6</v>
      </c>
      <c r="L73" s="12">
        <v>254</v>
      </c>
      <c r="M73" s="12">
        <v>340</v>
      </c>
      <c r="N73" s="12">
        <v>13.3</v>
      </c>
      <c r="O73" s="19">
        <v>282.52999999999997</v>
      </c>
      <c r="Q73" t="s">
        <v>872</v>
      </c>
    </row>
    <row r="74" spans="2:17" x14ac:dyDescent="0.2">
      <c r="B74" s="1" t="s">
        <v>178</v>
      </c>
      <c r="C74" t="s">
        <v>324</v>
      </c>
      <c r="D74" t="s">
        <v>326</v>
      </c>
      <c r="E74" s="1" t="s">
        <v>396</v>
      </c>
      <c r="H74" s="12" t="s">
        <v>215</v>
      </c>
      <c r="I74" s="11" t="s">
        <v>1549</v>
      </c>
      <c r="J74" s="12" t="s">
        <v>220</v>
      </c>
      <c r="K74" s="13">
        <v>14.5</v>
      </c>
      <c r="L74" s="12">
        <v>310</v>
      </c>
      <c r="M74" s="12">
        <v>480</v>
      </c>
      <c r="N74" s="12">
        <v>13.3</v>
      </c>
      <c r="O74" s="19">
        <v>320</v>
      </c>
      <c r="Q74" t="s">
        <v>873</v>
      </c>
    </row>
    <row r="75" spans="2:17" x14ac:dyDescent="0.2">
      <c r="B75" s="1" t="s">
        <v>179</v>
      </c>
      <c r="C75" t="s">
        <v>324</v>
      </c>
      <c r="D75" t="s">
        <v>326</v>
      </c>
      <c r="E75" s="1" t="s">
        <v>397</v>
      </c>
      <c r="H75" s="12" t="s">
        <v>216</v>
      </c>
      <c r="I75" s="11" t="s">
        <v>1550</v>
      </c>
      <c r="J75" s="12" t="s">
        <v>220</v>
      </c>
      <c r="K75" s="13">
        <v>15.4</v>
      </c>
      <c r="L75" s="12">
        <v>342</v>
      </c>
      <c r="M75" s="12">
        <v>540</v>
      </c>
      <c r="N75" s="12">
        <v>13.3</v>
      </c>
      <c r="O75" s="19">
        <v>395</v>
      </c>
      <c r="Q75" t="s">
        <v>874</v>
      </c>
    </row>
    <row r="76" spans="2:17" x14ac:dyDescent="0.2">
      <c r="B76" s="1" t="s">
        <v>180</v>
      </c>
      <c r="C76" t="s">
        <v>324</v>
      </c>
      <c r="D76" t="s">
        <v>326</v>
      </c>
      <c r="E76" s="1" t="s">
        <v>398</v>
      </c>
      <c r="H76" s="12" t="s">
        <v>217</v>
      </c>
      <c r="I76" s="11" t="s">
        <v>1551</v>
      </c>
      <c r="J76" s="12" t="s">
        <v>220</v>
      </c>
      <c r="K76" s="13">
        <v>16.3</v>
      </c>
      <c r="L76" s="12">
        <v>367</v>
      </c>
      <c r="M76" s="12">
        <v>600</v>
      </c>
      <c r="N76" s="12">
        <v>13.3</v>
      </c>
      <c r="O76" s="19">
        <v>432.12</v>
      </c>
      <c r="Q76" t="s">
        <v>875</v>
      </c>
    </row>
    <row r="77" spans="2:17" x14ac:dyDescent="0.2">
      <c r="B77" s="1" t="s">
        <v>181</v>
      </c>
      <c r="C77" t="s">
        <v>324</v>
      </c>
      <c r="D77" t="s">
        <v>326</v>
      </c>
      <c r="E77" s="1" t="s">
        <v>399</v>
      </c>
      <c r="H77" s="12" t="s">
        <v>650</v>
      </c>
      <c r="I77" s="11" t="s">
        <v>1552</v>
      </c>
      <c r="J77" s="12" t="s">
        <v>220</v>
      </c>
      <c r="K77" s="13">
        <v>19.7</v>
      </c>
      <c r="L77" s="12">
        <v>448</v>
      </c>
      <c r="M77" s="12">
        <v>690</v>
      </c>
      <c r="N77" s="12">
        <v>13.3</v>
      </c>
      <c r="O77" s="19">
        <f>O78/25*24</f>
        <v>512.93759999999997</v>
      </c>
      <c r="Q77" t="s">
        <v>876</v>
      </c>
    </row>
    <row r="78" spans="2:17" x14ac:dyDescent="0.2">
      <c r="B78" s="1" t="s">
        <v>182</v>
      </c>
      <c r="C78" t="s">
        <v>324</v>
      </c>
      <c r="D78" t="s">
        <v>326</v>
      </c>
      <c r="E78" s="1" t="s">
        <v>400</v>
      </c>
      <c r="H78" s="12" t="s">
        <v>265</v>
      </c>
      <c r="I78" s="11" t="s">
        <v>1553</v>
      </c>
      <c r="J78" s="12" t="s">
        <v>220</v>
      </c>
      <c r="K78" s="13">
        <v>20.3</v>
      </c>
      <c r="L78" s="12">
        <v>492</v>
      </c>
      <c r="M78" s="12">
        <v>705</v>
      </c>
      <c r="N78" s="12">
        <v>13.3</v>
      </c>
      <c r="O78" s="19">
        <v>534.30999999999995</v>
      </c>
      <c r="Q78" t="s">
        <v>877</v>
      </c>
    </row>
    <row r="79" spans="2:17" x14ac:dyDescent="0.2">
      <c r="B79" s="1" t="s">
        <v>183</v>
      </c>
      <c r="C79" t="s">
        <v>324</v>
      </c>
      <c r="D79" t="s">
        <v>326</v>
      </c>
      <c r="E79" s="1" t="s">
        <v>401</v>
      </c>
      <c r="H79" s="12" t="s">
        <v>266</v>
      </c>
      <c r="I79" s="11" t="s">
        <v>1554</v>
      </c>
      <c r="J79" s="12" t="s">
        <v>220</v>
      </c>
      <c r="K79" s="13">
        <v>20.8</v>
      </c>
      <c r="L79" s="12">
        <v>555</v>
      </c>
      <c r="M79" s="12">
        <v>830</v>
      </c>
      <c r="N79" s="12">
        <v>13.3</v>
      </c>
      <c r="O79" s="19">
        <v>641.16999999999996</v>
      </c>
      <c r="Q79" t="s">
        <v>878</v>
      </c>
    </row>
    <row r="80" spans="2:17" x14ac:dyDescent="0.2">
      <c r="B80" s="1" t="s">
        <v>184</v>
      </c>
      <c r="C80" t="s">
        <v>324</v>
      </c>
      <c r="D80" t="s">
        <v>326</v>
      </c>
      <c r="E80" s="1" t="s">
        <v>402</v>
      </c>
      <c r="H80" s="12" t="s">
        <v>269</v>
      </c>
      <c r="I80" s="11" t="s">
        <v>1555</v>
      </c>
      <c r="J80" s="12" t="s">
        <v>220</v>
      </c>
      <c r="K80" s="13">
        <v>25.8</v>
      </c>
      <c r="L80" s="12">
        <v>782</v>
      </c>
      <c r="M80" s="12">
        <v>1060</v>
      </c>
      <c r="N80" s="12">
        <v>13.3</v>
      </c>
      <c r="O80" s="19">
        <v>978.5</v>
      </c>
      <c r="Q80" t="s">
        <v>879</v>
      </c>
    </row>
    <row r="81" spans="2:17" ht="3.6" customHeight="1" x14ac:dyDescent="0.2">
      <c r="B81"/>
      <c r="C81" s="1"/>
      <c r="E81"/>
      <c r="F81"/>
      <c r="G81"/>
      <c r="H81" s="15"/>
      <c r="I81" s="16"/>
      <c r="J81" s="15"/>
      <c r="K81" s="17"/>
      <c r="L81" s="15"/>
      <c r="M81" s="15"/>
      <c r="N81" s="17"/>
      <c r="O81" s="20"/>
    </row>
    <row r="82" spans="2:17" x14ac:dyDescent="0.2">
      <c r="B82" s="1" t="s">
        <v>185</v>
      </c>
      <c r="C82" t="s">
        <v>324</v>
      </c>
      <c r="D82" t="s">
        <v>326</v>
      </c>
      <c r="E82" s="1" t="s">
        <v>403</v>
      </c>
      <c r="H82" s="12" t="s">
        <v>276</v>
      </c>
      <c r="I82" s="11" t="s">
        <v>1556</v>
      </c>
      <c r="J82" s="12" t="s">
        <v>316</v>
      </c>
      <c r="K82" s="13">
        <v>9</v>
      </c>
      <c r="L82" s="12">
        <v>98</v>
      </c>
      <c r="M82" s="12">
        <v>130</v>
      </c>
      <c r="N82" s="12">
        <v>7.98</v>
      </c>
      <c r="O82" s="19">
        <v>105.71</v>
      </c>
      <c r="Q82" t="s">
        <v>880</v>
      </c>
    </row>
    <row r="83" spans="2:17" x14ac:dyDescent="0.2">
      <c r="B83" s="1" t="s">
        <v>186</v>
      </c>
      <c r="C83" t="s">
        <v>324</v>
      </c>
      <c r="D83" t="s">
        <v>326</v>
      </c>
      <c r="E83" s="1" t="s">
        <v>404</v>
      </c>
      <c r="H83" s="12" t="s">
        <v>277</v>
      </c>
      <c r="I83" s="11" t="s">
        <v>1557</v>
      </c>
      <c r="J83" s="12" t="s">
        <v>316</v>
      </c>
      <c r="K83" s="13">
        <v>9.9</v>
      </c>
      <c r="L83" s="12">
        <v>148</v>
      </c>
      <c r="M83" s="12">
        <v>170</v>
      </c>
      <c r="N83" s="12">
        <v>7.98</v>
      </c>
      <c r="O83" s="19">
        <v>124.91</v>
      </c>
      <c r="Q83" t="s">
        <v>881</v>
      </c>
    </row>
    <row r="84" spans="2:17" x14ac:dyDescent="0.2">
      <c r="B84" s="1" t="s">
        <v>187</v>
      </c>
      <c r="C84" t="s">
        <v>324</v>
      </c>
      <c r="D84" t="s">
        <v>326</v>
      </c>
      <c r="E84" s="1" t="s">
        <v>405</v>
      </c>
      <c r="H84" s="12" t="s">
        <v>278</v>
      </c>
      <c r="I84" s="11" t="s">
        <v>1558</v>
      </c>
      <c r="J84" s="12" t="s">
        <v>316</v>
      </c>
      <c r="K84" s="13">
        <v>10.199999999999999</v>
      </c>
      <c r="L84" s="12">
        <v>174</v>
      </c>
      <c r="M84" s="12">
        <v>195</v>
      </c>
      <c r="N84" s="12">
        <v>7.98</v>
      </c>
      <c r="O84" s="19">
        <v>167.01</v>
      </c>
      <c r="Q84" t="s">
        <v>882</v>
      </c>
    </row>
    <row r="85" spans="2:17" x14ac:dyDescent="0.2">
      <c r="B85" s="1" t="s">
        <v>188</v>
      </c>
      <c r="C85" t="s">
        <v>324</v>
      </c>
      <c r="D85" t="s">
        <v>326</v>
      </c>
      <c r="E85" s="1" t="s">
        <v>406</v>
      </c>
      <c r="H85" s="12" t="s">
        <v>279</v>
      </c>
      <c r="I85" s="11" t="s">
        <v>1559</v>
      </c>
      <c r="J85" s="12" t="s">
        <v>316</v>
      </c>
      <c r="K85" s="13">
        <v>11.6</v>
      </c>
      <c r="L85" s="12">
        <v>200</v>
      </c>
      <c r="M85" s="12">
        <v>225</v>
      </c>
      <c r="N85" s="12">
        <v>7.98</v>
      </c>
      <c r="O85" s="19">
        <v>213.2</v>
      </c>
      <c r="Q85" t="s">
        <v>883</v>
      </c>
    </row>
    <row r="86" spans="2:17" x14ac:dyDescent="0.2">
      <c r="B86" s="1" t="s">
        <v>189</v>
      </c>
      <c r="C86" t="s">
        <v>324</v>
      </c>
      <c r="D86" t="s">
        <v>326</v>
      </c>
      <c r="E86" s="1" t="s">
        <v>407</v>
      </c>
      <c r="H86" s="12" t="s">
        <v>280</v>
      </c>
      <c r="I86" s="11" t="s">
        <v>1560</v>
      </c>
      <c r="J86" s="12" t="s">
        <v>316</v>
      </c>
      <c r="K86" s="13">
        <v>13.7</v>
      </c>
      <c r="L86" s="12">
        <v>235</v>
      </c>
      <c r="M86" s="12">
        <v>345</v>
      </c>
      <c r="N86" s="12">
        <v>7.98</v>
      </c>
      <c r="O86" s="19">
        <v>277.98</v>
      </c>
      <c r="Q86" t="s">
        <v>884</v>
      </c>
    </row>
    <row r="87" spans="2:17" x14ac:dyDescent="0.2">
      <c r="B87" s="1" t="s">
        <v>190</v>
      </c>
      <c r="C87" t="s">
        <v>324</v>
      </c>
      <c r="D87" t="s">
        <v>326</v>
      </c>
      <c r="E87" s="1" t="s">
        <v>408</v>
      </c>
      <c r="H87" s="12" t="s">
        <v>282</v>
      </c>
      <c r="I87" s="11" t="s">
        <v>1561</v>
      </c>
      <c r="J87" s="12" t="s">
        <v>316</v>
      </c>
      <c r="K87" s="13">
        <v>18.2</v>
      </c>
      <c r="L87" s="12">
        <v>355</v>
      </c>
      <c r="M87" s="12">
        <v>570</v>
      </c>
      <c r="N87" s="12">
        <v>7.98</v>
      </c>
      <c r="O87" s="19">
        <v>496.62</v>
      </c>
      <c r="Q87" t="s">
        <v>885</v>
      </c>
    </row>
    <row r="88" spans="2:17" x14ac:dyDescent="0.2">
      <c r="B88" s="1" t="s">
        <v>191</v>
      </c>
      <c r="C88" t="s">
        <v>324</v>
      </c>
      <c r="D88" t="s">
        <v>326</v>
      </c>
      <c r="E88" s="1" t="s">
        <v>409</v>
      </c>
      <c r="H88" s="12" t="s">
        <v>284</v>
      </c>
      <c r="I88" s="11" t="s">
        <v>1562</v>
      </c>
      <c r="J88" s="12" t="s">
        <v>316</v>
      </c>
      <c r="K88" s="13">
        <v>22.4</v>
      </c>
      <c r="L88" s="12">
        <v>569</v>
      </c>
      <c r="M88" s="12">
        <v>970</v>
      </c>
      <c r="N88" s="12">
        <v>7.98</v>
      </c>
      <c r="O88" s="19">
        <v>711.06</v>
      </c>
      <c r="Q88" t="s">
        <v>886</v>
      </c>
    </row>
    <row r="89" spans="2:17" x14ac:dyDescent="0.2">
      <c r="B89" s="1" t="s">
        <v>192</v>
      </c>
      <c r="C89" t="s">
        <v>324</v>
      </c>
      <c r="D89" t="s">
        <v>326</v>
      </c>
      <c r="E89" s="1" t="s">
        <v>410</v>
      </c>
      <c r="H89" s="12" t="s">
        <v>285</v>
      </c>
      <c r="I89" s="11" t="s">
        <v>1563</v>
      </c>
      <c r="J89" s="12" t="s">
        <v>316</v>
      </c>
      <c r="K89" s="13">
        <v>25.2</v>
      </c>
      <c r="L89" s="12">
        <v>827</v>
      </c>
      <c r="M89" s="12">
        <v>1350</v>
      </c>
      <c r="N89" s="12">
        <v>7.98</v>
      </c>
      <c r="O89" s="19">
        <v>901.89</v>
      </c>
      <c r="Q89" t="s">
        <v>887</v>
      </c>
    </row>
    <row r="90" spans="2:17" ht="3.6" customHeight="1" x14ac:dyDescent="0.2">
      <c r="B90"/>
      <c r="C90" s="1"/>
      <c r="E90"/>
      <c r="F90"/>
      <c r="G90"/>
      <c r="H90" s="15"/>
      <c r="I90" s="16"/>
      <c r="J90" s="15"/>
      <c r="K90" s="17"/>
      <c r="L90" s="15"/>
      <c r="M90" s="15"/>
      <c r="N90" s="17"/>
      <c r="O90" s="20"/>
    </row>
    <row r="91" spans="2:17" x14ac:dyDescent="0.2">
      <c r="B91" s="1" t="s">
        <v>193</v>
      </c>
      <c r="C91" t="s">
        <v>324</v>
      </c>
      <c r="D91" t="s">
        <v>326</v>
      </c>
      <c r="E91" s="1" t="s">
        <v>411</v>
      </c>
      <c r="H91" s="12" t="s">
        <v>293</v>
      </c>
      <c r="I91" s="11" t="s">
        <v>1564</v>
      </c>
      <c r="J91" s="12" t="s">
        <v>317</v>
      </c>
      <c r="K91" s="13">
        <v>11.7</v>
      </c>
      <c r="L91" s="12">
        <v>190</v>
      </c>
      <c r="M91" s="12">
        <v>235</v>
      </c>
      <c r="N91" s="12">
        <v>4.95</v>
      </c>
      <c r="O91" s="19">
        <v>205</v>
      </c>
      <c r="Q91" t="s">
        <v>888</v>
      </c>
    </row>
    <row r="92" spans="2:17" x14ac:dyDescent="0.2">
      <c r="B92" s="1" t="s">
        <v>194</v>
      </c>
      <c r="C92" t="s">
        <v>324</v>
      </c>
      <c r="D92" t="s">
        <v>326</v>
      </c>
      <c r="E92" s="1" t="s">
        <v>412</v>
      </c>
      <c r="H92" s="12" t="s">
        <v>294</v>
      </c>
      <c r="I92" s="11" t="s">
        <v>1565</v>
      </c>
      <c r="J92" s="12" t="s">
        <v>317</v>
      </c>
      <c r="K92" s="13">
        <v>12.9</v>
      </c>
      <c r="L92" s="12">
        <v>220</v>
      </c>
      <c r="M92" s="12">
        <v>310</v>
      </c>
      <c r="N92" s="12">
        <v>4.95</v>
      </c>
      <c r="O92" s="19">
        <v>264.13</v>
      </c>
      <c r="Q92" t="s">
        <v>889</v>
      </c>
    </row>
    <row r="93" spans="2:17" x14ac:dyDescent="0.2">
      <c r="B93" s="1" t="s">
        <v>195</v>
      </c>
      <c r="C93" t="s">
        <v>324</v>
      </c>
      <c r="D93" t="s">
        <v>326</v>
      </c>
      <c r="E93" s="1" t="s">
        <v>413</v>
      </c>
      <c r="H93" s="12" t="s">
        <v>295</v>
      </c>
      <c r="I93" s="11" t="s">
        <v>1566</v>
      </c>
      <c r="J93" s="12" t="s">
        <v>317</v>
      </c>
      <c r="K93" s="13">
        <v>14.3</v>
      </c>
      <c r="L93" s="12">
        <v>328</v>
      </c>
      <c r="M93" s="12">
        <v>385</v>
      </c>
      <c r="N93" s="12">
        <v>4.95</v>
      </c>
      <c r="O93" s="19">
        <v>347</v>
      </c>
      <c r="Q93" t="s">
        <v>890</v>
      </c>
    </row>
    <row r="94" spans="2:17" x14ac:dyDescent="0.2">
      <c r="B94" s="1" t="s">
        <v>196</v>
      </c>
      <c r="C94" t="s">
        <v>324</v>
      </c>
      <c r="D94" t="s">
        <v>326</v>
      </c>
      <c r="E94" s="1" t="s">
        <v>414</v>
      </c>
      <c r="H94" s="12" t="s">
        <v>296</v>
      </c>
      <c r="I94" s="11" t="s">
        <v>1567</v>
      </c>
      <c r="J94" s="12" t="s">
        <v>317</v>
      </c>
      <c r="K94" s="13">
        <v>15.4</v>
      </c>
      <c r="L94" s="12">
        <v>355</v>
      </c>
      <c r="M94" s="12">
        <v>500</v>
      </c>
      <c r="N94" s="12">
        <v>4.95</v>
      </c>
      <c r="O94" s="19">
        <v>455</v>
      </c>
      <c r="Q94" t="s">
        <v>891</v>
      </c>
    </row>
    <row r="95" spans="2:17" ht="3.6" customHeight="1" x14ac:dyDescent="0.2">
      <c r="B95"/>
      <c r="C95" s="1"/>
      <c r="E95"/>
      <c r="F95"/>
      <c r="G95"/>
      <c r="H95" s="15"/>
      <c r="I95" s="16"/>
      <c r="J95" s="15"/>
      <c r="K95" s="17"/>
      <c r="L95" s="15"/>
      <c r="M95" s="15"/>
      <c r="N95" s="17"/>
      <c r="O95" s="20"/>
    </row>
    <row r="96" spans="2:17" x14ac:dyDescent="0.2">
      <c r="B96" s="1" t="s">
        <v>197</v>
      </c>
      <c r="C96" t="s">
        <v>324</v>
      </c>
      <c r="D96" t="s">
        <v>326</v>
      </c>
      <c r="E96" s="1" t="s">
        <v>415</v>
      </c>
      <c r="H96" s="12" t="s">
        <v>298</v>
      </c>
      <c r="I96" s="11" t="s">
        <v>1568</v>
      </c>
      <c r="J96" s="12" t="s">
        <v>318</v>
      </c>
      <c r="K96" s="13">
        <v>13.2</v>
      </c>
      <c r="L96" s="12">
        <v>260</v>
      </c>
      <c r="M96" s="12">
        <v>320</v>
      </c>
      <c r="N96" s="19">
        <v>3.3</v>
      </c>
      <c r="O96" s="19">
        <v>292</v>
      </c>
      <c r="Q96" t="s">
        <v>892</v>
      </c>
    </row>
    <row r="97" spans="2:17" x14ac:dyDescent="0.2">
      <c r="B97" s="1" t="s">
        <v>198</v>
      </c>
      <c r="C97" t="s">
        <v>324</v>
      </c>
      <c r="D97" t="s">
        <v>326</v>
      </c>
      <c r="E97" s="1" t="s">
        <v>416</v>
      </c>
      <c r="H97" s="12" t="s">
        <v>299</v>
      </c>
      <c r="I97" s="11" t="s">
        <v>1569</v>
      </c>
      <c r="J97" s="12" t="s">
        <v>318</v>
      </c>
      <c r="K97" s="13">
        <v>14.7</v>
      </c>
      <c r="L97" s="12">
        <v>305</v>
      </c>
      <c r="M97" s="12">
        <v>415</v>
      </c>
      <c r="N97" s="19">
        <v>3.3</v>
      </c>
      <c r="O97" s="19">
        <v>395.58</v>
      </c>
      <c r="Q97" t="s">
        <v>893</v>
      </c>
    </row>
    <row r="98" spans="2:17" x14ac:dyDescent="0.2">
      <c r="B98" s="1" t="s">
        <v>114</v>
      </c>
      <c r="C98" t="s">
        <v>323</v>
      </c>
      <c r="D98" t="s">
        <v>325</v>
      </c>
      <c r="E98" s="1" t="s">
        <v>330</v>
      </c>
      <c r="H98" s="12" t="s">
        <v>300</v>
      </c>
      <c r="I98" s="11" t="s">
        <v>1570</v>
      </c>
      <c r="J98" s="12" t="s">
        <v>318</v>
      </c>
      <c r="K98" s="13">
        <v>16.399999999999999</v>
      </c>
      <c r="L98" s="12">
        <v>441</v>
      </c>
      <c r="M98" s="12">
        <v>510</v>
      </c>
      <c r="N98" s="19">
        <v>3.3</v>
      </c>
      <c r="O98" s="19">
        <v>495</v>
      </c>
      <c r="Q98" t="s">
        <v>894</v>
      </c>
    </row>
    <row r="99" spans="2:17" ht="3.6" customHeight="1" x14ac:dyDescent="0.2">
      <c r="B99"/>
      <c r="C99" s="1"/>
      <c r="E99"/>
      <c r="F99"/>
      <c r="G99"/>
      <c r="H99" s="15"/>
      <c r="I99" s="16"/>
      <c r="J99" s="15"/>
      <c r="K99" s="17"/>
      <c r="L99" s="15"/>
      <c r="M99" s="15"/>
      <c r="N99" s="17"/>
      <c r="O99" s="20"/>
    </row>
    <row r="100" spans="2:17" x14ac:dyDescent="0.2">
      <c r="B100" s="1" t="s">
        <v>115</v>
      </c>
      <c r="C100" t="s">
        <v>324</v>
      </c>
      <c r="D100" t="s">
        <v>326</v>
      </c>
      <c r="E100" s="1" t="s">
        <v>417</v>
      </c>
      <c r="H100" s="12" t="s">
        <v>302</v>
      </c>
      <c r="I100" s="11" t="s">
        <v>1571</v>
      </c>
      <c r="J100" s="12" t="s">
        <v>319</v>
      </c>
      <c r="K100" s="13">
        <v>15.5</v>
      </c>
      <c r="L100" s="12">
        <v>430</v>
      </c>
      <c r="M100" s="12">
        <v>470</v>
      </c>
      <c r="N100" s="12">
        <v>1.91</v>
      </c>
      <c r="O100" s="19">
        <v>652.34</v>
      </c>
      <c r="Q100" t="s">
        <v>895</v>
      </c>
    </row>
    <row r="101" spans="2:17" x14ac:dyDescent="0.2">
      <c r="B101" s="1" t="s">
        <v>116</v>
      </c>
      <c r="C101" t="s">
        <v>324</v>
      </c>
      <c r="D101" t="s">
        <v>326</v>
      </c>
      <c r="E101" s="1" t="s">
        <v>418</v>
      </c>
      <c r="H101" s="12" t="s">
        <v>303</v>
      </c>
      <c r="I101" s="11" t="s">
        <v>1572</v>
      </c>
      <c r="J101" s="12" t="s">
        <v>319</v>
      </c>
      <c r="K101" s="13">
        <v>17.5</v>
      </c>
      <c r="L101" s="12">
        <v>485</v>
      </c>
      <c r="M101" s="12">
        <v>700</v>
      </c>
      <c r="N101" s="12">
        <v>1.91</v>
      </c>
      <c r="O101" s="19">
        <v>858</v>
      </c>
      <c r="Q101" t="s">
        <v>896</v>
      </c>
    </row>
    <row r="102" spans="2:17" x14ac:dyDescent="0.2">
      <c r="B102" s="1" t="s">
        <v>117</v>
      </c>
      <c r="C102" t="s">
        <v>324</v>
      </c>
      <c r="D102" t="s">
        <v>326</v>
      </c>
      <c r="E102" s="1" t="s">
        <v>419</v>
      </c>
      <c r="H102" s="12" t="s">
        <v>304</v>
      </c>
      <c r="I102" s="11" t="s">
        <v>1573</v>
      </c>
      <c r="J102" s="12" t="s">
        <v>319</v>
      </c>
      <c r="K102" s="13">
        <v>19.899999999999999</v>
      </c>
      <c r="L102" s="12">
        <v>545</v>
      </c>
      <c r="M102" s="12">
        <v>930</v>
      </c>
      <c r="N102" s="12">
        <v>1.91</v>
      </c>
      <c r="O102" s="19" t="s">
        <v>904</v>
      </c>
      <c r="Q102" t="s">
        <v>897</v>
      </c>
    </row>
    <row r="103" spans="2:17" ht="3.6" customHeight="1" x14ac:dyDescent="0.2">
      <c r="B103"/>
      <c r="C103" s="1"/>
      <c r="E103"/>
      <c r="F103"/>
      <c r="G103"/>
      <c r="H103" s="15"/>
      <c r="I103" s="16"/>
      <c r="J103" s="15"/>
      <c r="K103" s="17"/>
      <c r="L103" s="15"/>
      <c r="M103" s="15"/>
      <c r="N103" s="17"/>
      <c r="O103" s="20"/>
    </row>
    <row r="104" spans="2:17" x14ac:dyDescent="0.2">
      <c r="B104" s="1" t="s">
        <v>118</v>
      </c>
      <c r="C104" t="s">
        <v>324</v>
      </c>
      <c r="D104" t="s">
        <v>326</v>
      </c>
      <c r="E104" s="1" t="s">
        <v>420</v>
      </c>
      <c r="H104" s="12" t="s">
        <v>307</v>
      </c>
      <c r="I104" s="11" t="s">
        <v>1574</v>
      </c>
      <c r="J104" s="12" t="s">
        <v>320</v>
      </c>
      <c r="K104" s="13">
        <v>20.2</v>
      </c>
      <c r="L104" s="12">
        <v>800</v>
      </c>
      <c r="M104" s="12">
        <v>1050</v>
      </c>
      <c r="N104" s="12">
        <v>1.21</v>
      </c>
      <c r="O104" s="19">
        <v>1239</v>
      </c>
      <c r="Q104" t="s">
        <v>898</v>
      </c>
    </row>
    <row r="105" spans="2:17" x14ac:dyDescent="0.2">
      <c r="B105" s="1" t="s">
        <v>119</v>
      </c>
      <c r="C105" t="s">
        <v>324</v>
      </c>
      <c r="D105" t="s">
        <v>326</v>
      </c>
      <c r="E105" s="1" t="s">
        <v>421</v>
      </c>
      <c r="H105" s="12" t="s">
        <v>308</v>
      </c>
      <c r="I105" s="11" t="s">
        <v>1575</v>
      </c>
      <c r="J105" s="12" t="s">
        <v>320</v>
      </c>
      <c r="K105" s="13">
        <v>22.6</v>
      </c>
      <c r="L105" s="12">
        <v>895</v>
      </c>
      <c r="M105" s="12">
        <v>1285</v>
      </c>
      <c r="N105" s="12">
        <v>1.21</v>
      </c>
      <c r="O105" s="19" t="s">
        <v>904</v>
      </c>
      <c r="Q105" t="s">
        <v>899</v>
      </c>
    </row>
    <row r="106" spans="2:17" ht="3.6" customHeight="1" x14ac:dyDescent="0.2">
      <c r="B106"/>
      <c r="C106" s="1"/>
      <c r="E106"/>
      <c r="F106"/>
      <c r="G106"/>
      <c r="H106" s="15"/>
      <c r="I106" s="16"/>
      <c r="J106" s="15"/>
      <c r="K106" s="17"/>
      <c r="L106" s="15"/>
      <c r="M106" s="15"/>
      <c r="N106" s="17"/>
      <c r="O106" s="20"/>
    </row>
    <row r="107" spans="2:17" x14ac:dyDescent="0.2">
      <c r="B107" s="1" t="s">
        <v>120</v>
      </c>
      <c r="C107" t="s">
        <v>324</v>
      </c>
      <c r="D107" t="s">
        <v>326</v>
      </c>
      <c r="E107" s="1" t="s">
        <v>422</v>
      </c>
      <c r="H107" s="12" t="s">
        <v>311</v>
      </c>
      <c r="I107" s="11" t="s">
        <v>1576</v>
      </c>
      <c r="J107" s="12" t="s">
        <v>321</v>
      </c>
      <c r="K107" s="13">
        <v>25.1</v>
      </c>
      <c r="L107" s="12">
        <v>1075</v>
      </c>
      <c r="M107" s="12">
        <v>1415</v>
      </c>
      <c r="N107" s="37">
        <v>0.78</v>
      </c>
      <c r="O107" s="19">
        <v>1941</v>
      </c>
      <c r="Q107" t="s">
        <v>900</v>
      </c>
    </row>
    <row r="108" spans="2:17" x14ac:dyDescent="0.2">
      <c r="B108" s="1" t="s">
        <v>121</v>
      </c>
      <c r="C108" t="s">
        <v>324</v>
      </c>
      <c r="D108" t="s">
        <v>326</v>
      </c>
      <c r="E108" s="1" t="s">
        <v>423</v>
      </c>
      <c r="H108" s="12" t="s">
        <v>312</v>
      </c>
      <c r="I108" s="11" t="s">
        <v>1577</v>
      </c>
      <c r="J108" s="12" t="s">
        <v>321</v>
      </c>
      <c r="K108" s="13">
        <v>28</v>
      </c>
      <c r="L108" s="12">
        <v>1400</v>
      </c>
      <c r="M108" s="12">
        <v>1980</v>
      </c>
      <c r="N108" s="37">
        <v>0.78</v>
      </c>
      <c r="O108" s="19" t="s">
        <v>904</v>
      </c>
      <c r="Q108" t="s">
        <v>901</v>
      </c>
    </row>
    <row r="109" spans="2:17" ht="3.6" customHeight="1" x14ac:dyDescent="0.2">
      <c r="B109"/>
      <c r="C109" s="1"/>
      <c r="E109"/>
      <c r="F109"/>
      <c r="G109"/>
      <c r="H109" s="15"/>
      <c r="I109" s="16"/>
      <c r="J109" s="15"/>
      <c r="K109" s="17"/>
      <c r="L109" s="15"/>
      <c r="M109" s="15"/>
      <c r="N109" s="17"/>
      <c r="O109" s="20"/>
      <c r="Q109" t="s">
        <v>902</v>
      </c>
    </row>
    <row r="110" spans="2:17" x14ac:dyDescent="0.2">
      <c r="B110" s="1" t="s">
        <v>122</v>
      </c>
      <c r="C110" t="s">
        <v>324</v>
      </c>
      <c r="D110" t="s">
        <v>326</v>
      </c>
      <c r="E110" s="1" t="s">
        <v>424</v>
      </c>
      <c r="H110" s="12" t="s">
        <v>314</v>
      </c>
      <c r="I110" s="11" t="s">
        <v>1578</v>
      </c>
      <c r="J110" s="12" t="s">
        <v>322</v>
      </c>
      <c r="K110" s="13">
        <v>28</v>
      </c>
      <c r="L110" s="12">
        <v>1576</v>
      </c>
      <c r="M110" s="12">
        <v>2075</v>
      </c>
      <c r="N110" s="12">
        <v>0.55400000000000005</v>
      </c>
      <c r="O110" s="19">
        <v>2548</v>
      </c>
      <c r="Q110" t="s">
        <v>903</v>
      </c>
    </row>
    <row r="111" spans="2:17" x14ac:dyDescent="0.2">
      <c r="B111" s="1" t="s">
        <v>123</v>
      </c>
      <c r="C111" t="s">
        <v>324</v>
      </c>
      <c r="D111" t="s">
        <v>326</v>
      </c>
      <c r="E111" s="1" t="s">
        <v>425</v>
      </c>
      <c r="K111" s="1"/>
    </row>
    <row r="112" spans="2:17" x14ac:dyDescent="0.2">
      <c r="B112" s="1" t="s">
        <v>199</v>
      </c>
      <c r="C112" t="s">
        <v>324</v>
      </c>
      <c r="D112" t="s">
        <v>326</v>
      </c>
      <c r="E112" s="1" t="s">
        <v>426</v>
      </c>
      <c r="K112" s="1"/>
    </row>
    <row r="113" spans="2:11" x14ac:dyDescent="0.2">
      <c r="B113" s="1" t="s">
        <v>200</v>
      </c>
      <c r="C113" t="s">
        <v>324</v>
      </c>
      <c r="D113" t="s">
        <v>326</v>
      </c>
      <c r="E113" s="1" t="s">
        <v>427</v>
      </c>
      <c r="K113" s="1"/>
    </row>
    <row r="114" spans="2:11" x14ac:dyDescent="0.2">
      <c r="K114" s="1"/>
    </row>
    <row r="115" spans="2:11" x14ac:dyDescent="0.2">
      <c r="K115" s="1"/>
    </row>
  </sheetData>
  <mergeCells count="1">
    <mergeCell ref="I4:I5"/>
  </mergeCells>
  <pageMargins left="0.32" right="0.17" top="0.17" bottom="0.17" header="0.17" footer="0.3"/>
  <pageSetup scale="75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1ED3-5CFA-4E31-9F2F-13FECB79CF50}">
  <sheetPr>
    <tabColor rgb="FFFFFF00"/>
  </sheetPr>
  <dimension ref="A1:T28"/>
  <sheetViews>
    <sheetView topLeftCell="G1" zoomScale="115" zoomScaleNormal="115" workbookViewId="0">
      <selection activeCell="H73" sqref="H73"/>
    </sheetView>
  </sheetViews>
  <sheetFormatPr defaultRowHeight="14.25" x14ac:dyDescent="0.2"/>
  <cols>
    <col min="1" max="1" width="1.875" hidden="1" customWidth="1"/>
    <col min="2" max="2" width="13.125" style="1" hidden="1" customWidth="1"/>
    <col min="3" max="3" width="20.375" hidden="1" customWidth="1"/>
    <col min="4" max="4" width="7" hidden="1" customWidth="1"/>
    <col min="5" max="6" width="14.375" style="1" hidden="1" customWidth="1"/>
    <col min="7" max="7" width="5.875" style="1" customWidth="1"/>
    <col min="8" max="8" width="14.375" style="1" customWidth="1"/>
    <col min="9" max="9" width="37.875" style="1" customWidth="1"/>
    <col min="10" max="10" width="19" style="1" customWidth="1"/>
    <col min="11" max="11" width="9.375" style="3" bestFit="1" customWidth="1"/>
    <col min="12" max="13" width="9.75" style="1" bestFit="1" customWidth="1"/>
    <col min="14" max="14" width="17.875" style="1" bestFit="1" customWidth="1"/>
    <col min="15" max="15" width="14.75" style="1" customWidth="1"/>
    <col min="16" max="16" width="11.625" style="1" customWidth="1"/>
    <col min="17" max="17" width="57" customWidth="1"/>
    <col min="18" max="18" width="38.25" customWidth="1"/>
    <col min="19" max="19" width="16.375" bestFit="1" customWidth="1"/>
  </cols>
  <sheetData>
    <row r="1" spans="2:20" x14ac:dyDescent="0.2">
      <c r="I1" s="34" t="s">
        <v>1846</v>
      </c>
      <c r="K1" s="1"/>
    </row>
    <row r="2" spans="2:20" x14ac:dyDescent="0.2">
      <c r="I2" s="34" t="s">
        <v>1846</v>
      </c>
      <c r="K2" s="1"/>
    </row>
    <row r="3" spans="2:20" x14ac:dyDescent="0.2">
      <c r="K3" s="1"/>
    </row>
    <row r="4" spans="2:20" s="5" customFormat="1" ht="20.45" customHeight="1" x14ac:dyDescent="0.2">
      <c r="B4" s="4" t="s">
        <v>131</v>
      </c>
      <c r="E4" s="4"/>
      <c r="F4" s="4"/>
      <c r="G4" s="4"/>
      <c r="H4" s="6" t="s">
        <v>164</v>
      </c>
      <c r="I4" s="38" t="s">
        <v>480</v>
      </c>
      <c r="J4" s="6" t="s">
        <v>486</v>
      </c>
      <c r="K4" s="7" t="s">
        <v>170</v>
      </c>
      <c r="L4" s="6" t="s">
        <v>481</v>
      </c>
      <c r="M4" s="6" t="s">
        <v>482</v>
      </c>
      <c r="N4" s="6" t="s">
        <v>172</v>
      </c>
      <c r="O4" s="6" t="s">
        <v>913</v>
      </c>
      <c r="P4" s="1"/>
    </row>
    <row r="5" spans="2:20" s="5" customFormat="1" ht="20.45" customHeight="1" x14ac:dyDescent="0.2">
      <c r="B5" s="4"/>
      <c r="E5" s="4"/>
      <c r="F5" s="4"/>
      <c r="G5" s="4"/>
      <c r="H5" s="8" t="s">
        <v>484</v>
      </c>
      <c r="I5" s="39"/>
      <c r="J5" s="8" t="s">
        <v>169</v>
      </c>
      <c r="K5" s="9" t="s">
        <v>483</v>
      </c>
      <c r="L5" s="8" t="s">
        <v>171</v>
      </c>
      <c r="M5" s="8" t="s">
        <v>171</v>
      </c>
      <c r="N5" s="10" t="s">
        <v>485</v>
      </c>
      <c r="O5" s="24" t="s">
        <v>914</v>
      </c>
      <c r="P5" s="1"/>
      <c r="Q5" s="18" t="s">
        <v>905</v>
      </c>
      <c r="R5"/>
      <c r="S5"/>
      <c r="T5"/>
    </row>
    <row r="6" spans="2:20" s="25" customFormat="1" ht="20.45" customHeight="1" x14ac:dyDescent="0.2">
      <c r="B6" s="26"/>
      <c r="E6" s="26"/>
      <c r="F6" s="26"/>
      <c r="G6" s="26"/>
      <c r="H6" s="27">
        <v>0.5</v>
      </c>
      <c r="I6" s="27" t="s">
        <v>1843</v>
      </c>
      <c r="J6" s="27" t="s">
        <v>24</v>
      </c>
      <c r="K6" s="28">
        <v>2.1</v>
      </c>
      <c r="L6" s="27">
        <v>4.8</v>
      </c>
      <c r="M6" s="27">
        <v>9</v>
      </c>
      <c r="N6" s="35">
        <v>39</v>
      </c>
      <c r="O6" s="29">
        <v>5.17</v>
      </c>
      <c r="P6" s="30"/>
      <c r="Q6" t="s">
        <v>1847</v>
      </c>
      <c r="R6" s="31"/>
      <c r="S6" s="31"/>
      <c r="T6" s="31"/>
    </row>
    <row r="7" spans="2:20" s="25" customFormat="1" ht="20.45" customHeight="1" x14ac:dyDescent="0.2">
      <c r="B7" s="26"/>
      <c r="E7" s="26"/>
      <c r="F7" s="26"/>
      <c r="G7" s="26"/>
      <c r="H7" s="27">
        <v>0.75</v>
      </c>
      <c r="I7" s="27" t="s">
        <v>1844</v>
      </c>
      <c r="J7" s="27" t="s">
        <v>52</v>
      </c>
      <c r="K7" s="28">
        <v>2.4</v>
      </c>
      <c r="L7" s="27">
        <v>7.2</v>
      </c>
      <c r="M7" s="27">
        <v>11</v>
      </c>
      <c r="N7" s="35">
        <v>26</v>
      </c>
      <c r="O7" s="29">
        <v>7.26</v>
      </c>
      <c r="P7" s="30"/>
      <c r="Q7" t="s">
        <v>1848</v>
      </c>
      <c r="R7" s="31"/>
      <c r="S7" s="31"/>
      <c r="T7" s="31"/>
    </row>
    <row r="8" spans="2:20" s="25" customFormat="1" ht="20.45" customHeight="1" x14ac:dyDescent="0.2">
      <c r="B8" s="26"/>
      <c r="E8" s="26"/>
      <c r="F8" s="26"/>
      <c r="G8" s="26"/>
      <c r="H8" s="27">
        <v>1</v>
      </c>
      <c r="I8" s="27" t="s">
        <v>1845</v>
      </c>
      <c r="J8" s="27" t="s">
        <v>84</v>
      </c>
      <c r="K8" s="28">
        <v>2.6</v>
      </c>
      <c r="L8" s="27">
        <v>9.6</v>
      </c>
      <c r="M8" s="27">
        <v>14</v>
      </c>
      <c r="N8" s="35">
        <v>19.5</v>
      </c>
      <c r="O8" s="33">
        <v>9.1</v>
      </c>
      <c r="P8" s="30"/>
      <c r="Q8" t="s">
        <v>1849</v>
      </c>
      <c r="R8" s="31"/>
      <c r="S8" s="31"/>
      <c r="T8" s="31"/>
    </row>
    <row r="9" spans="2:20" s="25" customFormat="1" ht="20.45" customHeight="1" x14ac:dyDescent="0.2">
      <c r="B9" s="26"/>
      <c r="E9" s="26"/>
      <c r="F9" s="26"/>
      <c r="G9" s="26"/>
      <c r="H9" s="27">
        <v>1.5</v>
      </c>
      <c r="I9" s="27" t="s">
        <v>1579</v>
      </c>
      <c r="J9" s="27" t="s">
        <v>220</v>
      </c>
      <c r="K9" s="28">
        <v>3</v>
      </c>
      <c r="L9" s="28">
        <v>3</v>
      </c>
      <c r="M9" s="27">
        <v>20</v>
      </c>
      <c r="N9" s="29">
        <v>13.3</v>
      </c>
      <c r="O9" s="29">
        <v>12.88</v>
      </c>
      <c r="P9" s="30"/>
      <c r="Q9" t="s">
        <v>915</v>
      </c>
      <c r="R9" s="31"/>
      <c r="S9" s="31"/>
      <c r="T9" s="31"/>
    </row>
    <row r="10" spans="2:20" s="25" customFormat="1" ht="20.45" customHeight="1" x14ac:dyDescent="0.2">
      <c r="B10" s="26"/>
      <c r="E10" s="26"/>
      <c r="F10" s="26"/>
      <c r="G10" s="26"/>
      <c r="H10" s="27">
        <v>2.5</v>
      </c>
      <c r="I10" s="27" t="s">
        <v>1580</v>
      </c>
      <c r="J10" s="27" t="s">
        <v>316</v>
      </c>
      <c r="K10" s="28">
        <v>3.7</v>
      </c>
      <c r="L10" s="27">
        <v>3.7</v>
      </c>
      <c r="M10" s="27">
        <v>30</v>
      </c>
      <c r="N10" s="29">
        <v>7.98</v>
      </c>
      <c r="O10" s="29">
        <v>20.66</v>
      </c>
      <c r="P10" s="30"/>
      <c r="Q10" t="s">
        <v>916</v>
      </c>
      <c r="R10" s="31"/>
      <c r="S10" s="31"/>
      <c r="T10" s="31"/>
    </row>
    <row r="11" spans="2:20" s="25" customFormat="1" ht="20.45" customHeight="1" x14ac:dyDescent="0.2">
      <c r="B11" s="26"/>
      <c r="E11" s="26"/>
      <c r="F11" s="26"/>
      <c r="G11" s="26"/>
      <c r="H11" s="27">
        <v>4</v>
      </c>
      <c r="I11" s="27" t="s">
        <v>1581</v>
      </c>
      <c r="J11" s="27" t="s">
        <v>317</v>
      </c>
      <c r="K11" s="28">
        <v>4.3</v>
      </c>
      <c r="L11" s="27">
        <v>4.3</v>
      </c>
      <c r="M11" s="27">
        <v>48</v>
      </c>
      <c r="N11" s="29">
        <v>4.95</v>
      </c>
      <c r="O11" s="29">
        <v>34.549999999999997</v>
      </c>
      <c r="P11" s="30"/>
      <c r="Q11" t="s">
        <v>917</v>
      </c>
      <c r="R11" s="31"/>
      <c r="S11" s="31"/>
      <c r="T11" s="31"/>
    </row>
    <row r="12" spans="2:20" s="25" customFormat="1" ht="20.45" customHeight="1" x14ac:dyDescent="0.2">
      <c r="B12" s="26"/>
      <c r="E12" s="26"/>
      <c r="F12" s="26"/>
      <c r="G12" s="26"/>
      <c r="H12" s="27">
        <v>6</v>
      </c>
      <c r="I12" s="27" t="s">
        <v>1582</v>
      </c>
      <c r="J12" s="27" t="s">
        <v>318</v>
      </c>
      <c r="K12" s="28">
        <v>4.9000000000000004</v>
      </c>
      <c r="L12" s="27">
        <v>4.9000000000000004</v>
      </c>
      <c r="M12" s="27">
        <v>68</v>
      </c>
      <c r="N12" s="33">
        <v>3.3</v>
      </c>
      <c r="O12" s="29">
        <v>48.39</v>
      </c>
      <c r="P12" s="30"/>
      <c r="Q12" t="s">
        <v>918</v>
      </c>
      <c r="R12" s="31"/>
      <c r="S12" s="31"/>
      <c r="T12" s="31"/>
    </row>
    <row r="13" spans="2:20" s="25" customFormat="1" ht="20.45" customHeight="1" x14ac:dyDescent="0.2">
      <c r="B13" s="26"/>
      <c r="E13" s="26"/>
      <c r="F13" s="26"/>
      <c r="G13" s="26"/>
      <c r="H13" s="27">
        <v>10</v>
      </c>
      <c r="I13" s="27" t="s">
        <v>1583</v>
      </c>
      <c r="J13" s="27" t="s">
        <v>319</v>
      </c>
      <c r="K13" s="28">
        <v>6.5</v>
      </c>
      <c r="L13" s="27">
        <v>6.5</v>
      </c>
      <c r="M13" s="27">
        <v>118</v>
      </c>
      <c r="N13" s="29">
        <v>1.91</v>
      </c>
      <c r="O13" s="29">
        <v>82.08</v>
      </c>
      <c r="P13" s="30"/>
      <c r="Q13" t="s">
        <v>919</v>
      </c>
      <c r="R13" s="31"/>
      <c r="S13" s="31"/>
      <c r="T13" s="31"/>
    </row>
    <row r="14" spans="2:20" s="25" customFormat="1" ht="20.45" customHeight="1" x14ac:dyDescent="0.2">
      <c r="B14" s="26"/>
      <c r="E14" s="26"/>
      <c r="F14" s="26"/>
      <c r="G14" s="26"/>
      <c r="H14" s="27">
        <v>16</v>
      </c>
      <c r="I14" s="27" t="s">
        <v>1584</v>
      </c>
      <c r="J14" s="27" t="s">
        <v>320</v>
      </c>
      <c r="K14" s="28">
        <v>8</v>
      </c>
      <c r="L14" s="28">
        <v>8</v>
      </c>
      <c r="M14" s="27">
        <v>185</v>
      </c>
      <c r="N14" s="29">
        <v>1.21</v>
      </c>
      <c r="O14" s="29">
        <v>129.63999999999999</v>
      </c>
      <c r="P14" s="30"/>
      <c r="Q14" t="s">
        <v>920</v>
      </c>
      <c r="R14" s="31"/>
      <c r="S14" s="31"/>
      <c r="T14" s="31"/>
    </row>
    <row r="15" spans="2:20" s="25" customFormat="1" ht="20.45" customHeight="1" x14ac:dyDescent="0.2">
      <c r="B15" s="26"/>
      <c r="E15" s="26"/>
      <c r="F15" s="26"/>
      <c r="G15" s="26"/>
      <c r="H15" s="27">
        <v>25</v>
      </c>
      <c r="I15" s="27" t="s">
        <v>1585</v>
      </c>
      <c r="J15" s="27" t="s">
        <v>321</v>
      </c>
      <c r="K15" s="28">
        <v>9.8000000000000007</v>
      </c>
      <c r="L15" s="27">
        <v>9.8000000000000007</v>
      </c>
      <c r="M15" s="27">
        <v>286</v>
      </c>
      <c r="N15" s="36">
        <v>0.78</v>
      </c>
      <c r="O15" s="29">
        <v>200.14</v>
      </c>
      <c r="P15" s="30"/>
      <c r="Q15" t="s">
        <v>921</v>
      </c>
      <c r="R15" s="31"/>
      <c r="S15" s="31"/>
      <c r="T15" s="31"/>
    </row>
    <row r="16" spans="2:20" s="25" customFormat="1" ht="20.45" customHeight="1" x14ac:dyDescent="0.2">
      <c r="B16" s="26"/>
      <c r="E16" s="26"/>
      <c r="F16" s="26"/>
      <c r="G16" s="26"/>
      <c r="H16" s="27">
        <v>35</v>
      </c>
      <c r="I16" s="27" t="s">
        <v>1586</v>
      </c>
      <c r="J16" s="27" t="s">
        <v>322</v>
      </c>
      <c r="K16" s="28">
        <v>11</v>
      </c>
      <c r="L16" s="27">
        <v>11</v>
      </c>
      <c r="M16" s="27">
        <v>388</v>
      </c>
      <c r="N16" s="29">
        <v>0.55400000000000005</v>
      </c>
      <c r="O16" s="29">
        <v>281.86</v>
      </c>
      <c r="P16" s="30"/>
      <c r="Q16" t="s">
        <v>922</v>
      </c>
      <c r="R16" s="31"/>
      <c r="S16" s="31"/>
      <c r="T16" s="31"/>
    </row>
    <row r="17" spans="1:20" s="25" customFormat="1" ht="20.45" customHeight="1" x14ac:dyDescent="0.2">
      <c r="B17" s="26"/>
      <c r="E17" s="26"/>
      <c r="F17" s="26"/>
      <c r="G17" s="26"/>
      <c r="H17" s="27">
        <v>50</v>
      </c>
      <c r="I17" s="27" t="s">
        <v>1587</v>
      </c>
      <c r="J17" s="27" t="s">
        <v>906</v>
      </c>
      <c r="K17" s="28">
        <v>13</v>
      </c>
      <c r="L17" s="27">
        <v>13</v>
      </c>
      <c r="M17" s="27">
        <v>566</v>
      </c>
      <c r="N17" s="29">
        <v>0.38600000000000001</v>
      </c>
      <c r="O17" s="29">
        <v>406.33</v>
      </c>
      <c r="P17" s="30"/>
      <c r="Q17" t="s">
        <v>923</v>
      </c>
      <c r="R17" s="31"/>
      <c r="S17" s="31"/>
      <c r="T17" s="31"/>
    </row>
    <row r="18" spans="1:20" s="25" customFormat="1" ht="20.45" customHeight="1" x14ac:dyDescent="0.2">
      <c r="B18" s="26"/>
      <c r="E18" s="26"/>
      <c r="F18" s="26"/>
      <c r="G18" s="26"/>
      <c r="H18" s="27">
        <v>70</v>
      </c>
      <c r="I18" s="27" t="s">
        <v>1588</v>
      </c>
      <c r="J18" s="27" t="s">
        <v>907</v>
      </c>
      <c r="K18" s="28">
        <v>15.5</v>
      </c>
      <c r="L18" s="27">
        <v>15.5</v>
      </c>
      <c r="M18" s="27">
        <v>771</v>
      </c>
      <c r="N18" s="29">
        <v>0.27200000000000002</v>
      </c>
      <c r="O18" s="29">
        <v>574.29</v>
      </c>
      <c r="P18" s="30"/>
      <c r="Q18" t="s">
        <v>924</v>
      </c>
      <c r="R18" s="31"/>
      <c r="S18" s="31"/>
      <c r="T18" s="31"/>
    </row>
    <row r="19" spans="1:20" s="25" customFormat="1" ht="20.45" customHeight="1" x14ac:dyDescent="0.2">
      <c r="B19" s="26"/>
      <c r="E19" s="26"/>
      <c r="F19" s="26"/>
      <c r="G19" s="26"/>
      <c r="H19" s="27">
        <v>95</v>
      </c>
      <c r="I19" s="27" t="s">
        <v>1589</v>
      </c>
      <c r="J19" s="27" t="s">
        <v>908</v>
      </c>
      <c r="K19" s="28">
        <v>17</v>
      </c>
      <c r="L19" s="28">
        <v>17</v>
      </c>
      <c r="M19" s="27">
        <v>934</v>
      </c>
      <c r="N19" s="29">
        <v>0.20599999999999999</v>
      </c>
      <c r="O19" s="33">
        <v>756</v>
      </c>
      <c r="P19" s="30"/>
      <c r="Q19" t="s">
        <v>925</v>
      </c>
      <c r="R19" s="31"/>
      <c r="S19" s="31"/>
      <c r="T19" s="31"/>
    </row>
    <row r="20" spans="1:20" s="25" customFormat="1" ht="20.45" customHeight="1" x14ac:dyDescent="0.2">
      <c r="B20" s="26"/>
      <c r="E20" s="26"/>
      <c r="F20" s="26"/>
      <c r="G20" s="26"/>
      <c r="H20" s="27">
        <v>120</v>
      </c>
      <c r="I20" s="27" t="s">
        <v>1590</v>
      </c>
      <c r="J20" s="27" t="s">
        <v>909</v>
      </c>
      <c r="K20" s="28">
        <v>19.7</v>
      </c>
      <c r="L20" s="27">
        <v>19.7</v>
      </c>
      <c r="M20" s="27">
        <v>1250</v>
      </c>
      <c r="N20" s="29">
        <v>0.161</v>
      </c>
      <c r="O20" s="29">
        <v>967.31</v>
      </c>
      <c r="P20" s="30"/>
      <c r="Q20" t="s">
        <v>926</v>
      </c>
      <c r="R20" s="31"/>
      <c r="S20" s="31"/>
      <c r="T20" s="31"/>
    </row>
    <row r="21" spans="1:20" s="25" customFormat="1" ht="20.45" customHeight="1" x14ac:dyDescent="0.2">
      <c r="B21" s="26"/>
      <c r="E21" s="26"/>
      <c r="F21" s="26"/>
      <c r="G21" s="26"/>
      <c r="H21" s="27">
        <v>150</v>
      </c>
      <c r="I21" s="27" t="s">
        <v>1591</v>
      </c>
      <c r="J21" s="27" t="s">
        <v>910</v>
      </c>
      <c r="K21" s="28">
        <v>21.3</v>
      </c>
      <c r="L21" s="27">
        <v>21.3</v>
      </c>
      <c r="M21" s="27">
        <v>1600</v>
      </c>
      <c r="N21" s="29">
        <v>0.129</v>
      </c>
      <c r="O21" s="32">
        <v>1211.99</v>
      </c>
      <c r="P21" s="30"/>
      <c r="Q21" t="s">
        <v>927</v>
      </c>
      <c r="R21" s="31"/>
      <c r="S21" s="31"/>
      <c r="T21" s="31"/>
    </row>
    <row r="22" spans="1:20" s="25" customFormat="1" ht="20.45" customHeight="1" x14ac:dyDescent="0.2">
      <c r="B22" s="26"/>
      <c r="E22" s="26"/>
      <c r="F22" s="26"/>
      <c r="G22" s="26"/>
      <c r="H22" s="27">
        <v>185</v>
      </c>
      <c r="I22" s="27" t="s">
        <v>1592</v>
      </c>
      <c r="J22" s="27" t="s">
        <v>911</v>
      </c>
      <c r="K22" s="28">
        <v>23.5</v>
      </c>
      <c r="L22" s="27">
        <v>23.5</v>
      </c>
      <c r="M22" s="27">
        <v>1980</v>
      </c>
      <c r="N22" s="29">
        <v>0.106</v>
      </c>
      <c r="O22" s="32">
        <v>1472.45</v>
      </c>
      <c r="P22" s="30"/>
      <c r="Q22" t="s">
        <v>928</v>
      </c>
      <c r="R22" s="31"/>
      <c r="S22" s="31"/>
      <c r="T22" s="31"/>
    </row>
    <row r="23" spans="1:20" s="25" customFormat="1" ht="20.45" customHeight="1" x14ac:dyDescent="0.2">
      <c r="B23" s="26"/>
      <c r="E23" s="26"/>
      <c r="F23" s="26"/>
      <c r="G23" s="26"/>
      <c r="H23" s="27">
        <v>240</v>
      </c>
      <c r="I23" s="27" t="s">
        <v>1593</v>
      </c>
      <c r="J23" s="27" t="s">
        <v>912</v>
      </c>
      <c r="K23" s="28">
        <v>27.4</v>
      </c>
      <c r="L23" s="27">
        <v>27.4</v>
      </c>
      <c r="M23" s="27">
        <v>2600</v>
      </c>
      <c r="N23" s="29">
        <v>8.0100000000000005E-2</v>
      </c>
      <c r="O23" s="32">
        <v>1915.25</v>
      </c>
      <c r="P23" s="30"/>
      <c r="Q23" t="s">
        <v>929</v>
      </c>
      <c r="R23" s="31"/>
      <c r="S23" s="31"/>
      <c r="T23" s="31"/>
    </row>
    <row r="24" spans="1:20" x14ac:dyDescent="0.2">
      <c r="B24" s="1" t="s">
        <v>123</v>
      </c>
      <c r="C24" t="s">
        <v>324</v>
      </c>
      <c r="D24" t="s">
        <v>326</v>
      </c>
      <c r="E24" s="1" t="s">
        <v>425</v>
      </c>
      <c r="K24" s="1"/>
    </row>
    <row r="25" spans="1:20" x14ac:dyDescent="0.2">
      <c r="B25" s="1" t="s">
        <v>199</v>
      </c>
      <c r="C25" t="s">
        <v>324</v>
      </c>
      <c r="D25" t="s">
        <v>326</v>
      </c>
      <c r="E25" s="1" t="s">
        <v>426</v>
      </c>
      <c r="K25" s="1"/>
    </row>
    <row r="26" spans="1:20" s="1" customFormat="1" x14ac:dyDescent="0.2">
      <c r="A26"/>
      <c r="B26" s="1" t="s">
        <v>200</v>
      </c>
      <c r="C26" t="s">
        <v>324</v>
      </c>
      <c r="D26" t="s">
        <v>326</v>
      </c>
      <c r="E26" s="1" t="s">
        <v>427</v>
      </c>
      <c r="Q26"/>
      <c r="R26"/>
      <c r="S26"/>
      <c r="T26"/>
    </row>
    <row r="27" spans="1:20" s="1" customFormat="1" x14ac:dyDescent="0.2">
      <c r="A27"/>
      <c r="C27"/>
      <c r="D27"/>
      <c r="Q27"/>
      <c r="R27"/>
      <c r="S27"/>
      <c r="T27"/>
    </row>
    <row r="28" spans="1:20" s="1" customFormat="1" x14ac:dyDescent="0.2">
      <c r="A28"/>
      <c r="C28"/>
      <c r="D28"/>
      <c r="Q28"/>
      <c r="R28"/>
      <c r="S28"/>
      <c r="T28"/>
    </row>
  </sheetData>
  <mergeCells count="1">
    <mergeCell ref="I4:I5"/>
  </mergeCells>
  <hyperlinks>
    <hyperlink ref="Q6" r:id="rId1" xr:uid="{9A3A5413-1913-481D-889B-7972B16E1709}"/>
    <hyperlink ref="Q7:Q8" r:id="rId2" display="https://nyxcable.com/IEC06/H05V-K1x1.5" xr:uid="{4BE756B5-75FC-415F-82C2-51431D396AE8}"/>
    <hyperlink ref="Q7" r:id="rId3" xr:uid="{DA2CDBA2-6077-40F1-8842-6607D5F1B8F2}"/>
    <hyperlink ref="Q8" r:id="rId4" xr:uid="{27381DB8-6507-4860-9DF7-9ED17F886DC3}"/>
  </hyperlinks>
  <pageMargins left="0.32" right="0.17" top="0.17" bottom="0.17" header="0.17" footer="0.3"/>
  <pageSetup scale="75"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9</vt:i4>
      </vt:variant>
    </vt:vector>
  </HeadingPairs>
  <TitlesOfParts>
    <vt:vector size="9" baseType="lpstr">
      <vt:lpstr>YSLY</vt:lpstr>
      <vt:lpstr>JZ-500</vt:lpstr>
      <vt:lpstr>Olflex</vt:lpstr>
      <vt:lpstr>Flex-JZ</vt:lpstr>
      <vt:lpstr>OPVC-JZ</vt:lpstr>
      <vt:lpstr>115</vt:lpstr>
      <vt:lpstr>LiYCY</vt:lpstr>
      <vt:lpstr>LiYCY-JZ</vt:lpstr>
      <vt:lpstr>H07V-K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ปิ๊ก</cp:lastModifiedBy>
  <cp:lastPrinted>2024-12-04T03:07:22Z</cp:lastPrinted>
  <dcterms:created xsi:type="dcterms:W3CDTF">2018-03-23T08:51:37Z</dcterms:created>
  <dcterms:modified xsi:type="dcterms:W3CDTF">2026-03-22T09:57:31Z</dcterms:modified>
</cp:coreProperties>
</file>